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omments2.xml" ContentType="application/vnd.openxmlformats-officedocument.spreadsheetml.comments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omments3.xml" ContentType="application/vnd.openxmlformats-officedocument.spreadsheetml.comments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omments4.xml" ContentType="application/vnd.openxmlformats-officedocument.spreadsheetml.comments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charts/chart7.xml" ContentType="application/vnd.openxmlformats-officedocument.drawingml.chart+xml"/>
  <Override PartName="/xl/drawings/drawing8.xml" ContentType="application/vnd.openxmlformats-officedocument.drawing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charts/chart8.xml" ContentType="application/vnd.openxmlformats-officedocument.drawingml.chart+xml"/>
  <Override PartName="/xl/drawings/drawing9.xml" ContentType="application/vnd.openxmlformats-officedocument.drawing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charts/chart9.xml" ContentType="application/vnd.openxmlformats-officedocument.drawingml.chart+xml"/>
  <Override PartName="/xl/drawings/drawing10.xml" ContentType="application/vnd.openxmlformats-officedocument.drawing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charts/chart10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3" ContentType="application/binary"/>
  <Override PartName="/xl/commentsmeta0" ContentType="application/binary"/>
  <Override PartName="/xl/commentsmeta2" ContentType="application/binary"/>
  <Override PartName="/xl/commentsmeta1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NDRES\Desktop\Sexto_Semestre\Analisis_y_Disenio_Software\Github\Unidad 1\"/>
    </mc:Choice>
  </mc:AlternateContent>
  <xr:revisionPtr revIDLastSave="0" documentId="8_{F3766E56-B082-478C-9A82-FA7A601B79E3}" xr6:coauthVersionLast="47" xr6:coauthVersionMax="47" xr10:uidLastSave="{00000000-0000-0000-0000-000000000000}"/>
  <bookViews>
    <workbookView xWindow="-120" yWindow="-120" windowWidth="20730" windowHeight="11040" tabRatio="1000" firstSheet="1" activeTab="6" xr2:uid="{00000000-000D-0000-FFFF-FFFF00000000}"/>
  </bookViews>
  <sheets>
    <sheet name="Matriz Ckeck LIst" sheetId="1" r:id="rId1"/>
    <sheet name="MODELO LISTA DE COMPROBACION - " sheetId="2" r:id="rId2"/>
    <sheet name="MODELO LISTA DE COMPROBACIÓN - " sheetId="3" r:id="rId3"/>
    <sheet name="MODELO DE LISTA DE COMPROBACION" sheetId="4" r:id="rId4"/>
    <sheet name="Hoja 1" sheetId="5" r:id="rId5"/>
    <sheet name="Hoja 2" sheetId="6" r:id="rId6"/>
    <sheet name="Hoja 3" sheetId="7" r:id="rId7"/>
    <sheet name="Hoja 4" sheetId="8" r:id="rId8"/>
    <sheet name="Hoja 5" sheetId="9" r:id="rId9"/>
    <sheet name="Hoja 6" sheetId="10" r:id="rId10"/>
    <sheet name="Hoja 7" sheetId="11" r:id="rId11"/>
    <sheet name="RECOMENDACIONES - CU-01" sheetId="12" r:id="rId12"/>
    <sheet name="RECOMENDACIONES - CU-02" sheetId="13" r:id="rId13"/>
    <sheet name="RECOMENDACIONES - CU-03" sheetId="14" r:id="rId14"/>
    <sheet name="RECOMENDACIONES - CU-04" sheetId="15" r:id="rId15"/>
    <sheet name="RECOMENDACIONES - CU-05" sheetId="16" r:id="rId16"/>
    <sheet name="RECOMENDACIONES - CU-06" sheetId="17" r:id="rId17"/>
    <sheet name="RECOMENDACIONES - CU-07" sheetId="18" r:id="rId18"/>
    <sheet name="RECOMENDACIONES - CU-08" sheetId="19" r:id="rId19"/>
    <sheet name="RECOMENDACIONES - CU-09" sheetId="20" r:id="rId20"/>
    <sheet name="RECOMENDACIONES - CU-10" sheetId="21" r:id="rId21"/>
  </sheets>
  <definedNames>
    <definedName name="_xlnm.Print_Area" localSheetId="4">'Hoja 1'!$A$1:$M$43</definedName>
    <definedName name="_xlnm.Print_Area" localSheetId="3">'MODELO DE LISTA DE COMPROBACION'!$A$1:$L$43</definedName>
    <definedName name="_xlnm.Print_Area" localSheetId="1">'MODELO LISTA DE COMPROBACION - '!$A$1:$L$43</definedName>
    <definedName name="_xlnm.Print_Area" localSheetId="2">'MODELO LISTA DE COMPROBACIÓN - '!$A$1:$L$43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25" roundtripDataChecksum="Vwn89lWjb6t7ZU3zI2TUgVMWH9TFQpgghZab638vYYk="/>
    </ext>
  </extLst>
</workbook>
</file>

<file path=xl/calcChain.xml><?xml version="1.0" encoding="utf-8"?>
<calcChain xmlns="http://schemas.openxmlformats.org/spreadsheetml/2006/main">
  <c r="D36" i="11" l="1"/>
  <c r="D35" i="11"/>
  <c r="C35" i="11"/>
  <c r="C36" i="11" s="1"/>
  <c r="C43" i="11" s="1"/>
  <c r="D28" i="11"/>
  <c r="C28" i="11"/>
  <c r="C42" i="11" s="1"/>
  <c r="D27" i="11"/>
  <c r="C27" i="11"/>
  <c r="D18" i="11"/>
  <c r="D17" i="11"/>
  <c r="C17" i="11"/>
  <c r="C18" i="11" s="1"/>
  <c r="C41" i="11" s="1"/>
  <c r="D36" i="10"/>
  <c r="D35" i="10"/>
  <c r="C35" i="10"/>
  <c r="C36" i="10" s="1"/>
  <c r="D28" i="10"/>
  <c r="C28" i="10"/>
  <c r="D27" i="10"/>
  <c r="C27" i="10"/>
  <c r="D18" i="10"/>
  <c r="D17" i="10"/>
  <c r="C17" i="10"/>
  <c r="C18" i="10" s="1"/>
  <c r="D36" i="9"/>
  <c r="D35" i="9"/>
  <c r="C35" i="9"/>
  <c r="C36" i="9" s="1"/>
  <c r="D28" i="9"/>
  <c r="C28" i="9"/>
  <c r="D27" i="9"/>
  <c r="C27" i="9"/>
  <c r="D18" i="9"/>
  <c r="D17" i="9"/>
  <c r="C17" i="9"/>
  <c r="C18" i="9" s="1"/>
  <c r="C43" i="8"/>
  <c r="C36" i="8"/>
  <c r="D35" i="8"/>
  <c r="D36" i="8" s="1"/>
  <c r="C35" i="8"/>
  <c r="D28" i="8"/>
  <c r="C28" i="8"/>
  <c r="C42" i="8" s="1"/>
  <c r="D27" i="8"/>
  <c r="C27" i="8"/>
  <c r="D18" i="8"/>
  <c r="C18" i="8"/>
  <c r="C41" i="8" s="1"/>
  <c r="D17" i="8"/>
  <c r="C17" i="8"/>
  <c r="C36" i="7"/>
  <c r="D35" i="7"/>
  <c r="D36" i="7" s="1"/>
  <c r="C35" i="7"/>
  <c r="D28" i="7"/>
  <c r="C28" i="7"/>
  <c r="D27" i="7"/>
  <c r="C27" i="7"/>
  <c r="D18" i="7"/>
  <c r="C18" i="7"/>
  <c r="D17" i="7"/>
  <c r="C17" i="7"/>
  <c r="C36" i="6"/>
  <c r="D35" i="6"/>
  <c r="D36" i="6" s="1"/>
  <c r="C35" i="6"/>
  <c r="D28" i="6"/>
  <c r="C28" i="6"/>
  <c r="D27" i="6"/>
  <c r="C27" i="6"/>
  <c r="D18" i="6"/>
  <c r="C18" i="6"/>
  <c r="D17" i="6"/>
  <c r="C17" i="6"/>
  <c r="C43" i="5"/>
  <c r="C42" i="5"/>
  <c r="C36" i="5"/>
  <c r="D35" i="5"/>
  <c r="D36" i="5" s="1"/>
  <c r="C35" i="5"/>
  <c r="C28" i="5"/>
  <c r="D27" i="5"/>
  <c r="D28" i="5" s="1"/>
  <c r="C27" i="5"/>
  <c r="D17" i="5"/>
  <c r="D18" i="5" s="1"/>
  <c r="C17" i="5"/>
  <c r="C18" i="5" s="1"/>
  <c r="C41" i="5" s="1"/>
  <c r="C36" i="4"/>
  <c r="D35" i="4"/>
  <c r="D36" i="4" s="1"/>
  <c r="C35" i="4"/>
  <c r="C28" i="4"/>
  <c r="D27" i="4"/>
  <c r="D28" i="4" s="1"/>
  <c r="C27" i="4"/>
  <c r="D17" i="4"/>
  <c r="D18" i="4" s="1"/>
  <c r="C17" i="4"/>
  <c r="C18" i="4" s="1"/>
  <c r="C36" i="3"/>
  <c r="D35" i="3"/>
  <c r="D36" i="3" s="1"/>
  <c r="C35" i="3"/>
  <c r="C28" i="3"/>
  <c r="D27" i="3"/>
  <c r="D28" i="3" s="1"/>
  <c r="C27" i="3"/>
  <c r="D18" i="3"/>
  <c r="D17" i="3"/>
  <c r="C17" i="3"/>
  <c r="C18" i="3" s="1"/>
  <c r="D35" i="2"/>
  <c r="D36" i="2" s="1"/>
  <c r="C35" i="2"/>
  <c r="C36" i="2" s="1"/>
  <c r="C43" i="2" s="1"/>
  <c r="D27" i="2"/>
  <c r="D28" i="2" s="1"/>
  <c r="C27" i="2"/>
  <c r="C28" i="2" s="1"/>
  <c r="C42" i="2" s="1"/>
  <c r="D18" i="2"/>
  <c r="D17" i="2"/>
  <c r="C17" i="2"/>
  <c r="C18" i="2" s="1"/>
  <c r="C41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7" authorId="0" shapeId="0" xr:uid="{00000000-0006-0000-0000-000013000000}">
      <text>
        <r>
          <rPr>
            <sz val="11"/>
            <color theme="1"/>
            <rFont val="Calibri"/>
            <scheme val="minor"/>
          </rPr>
          <t>======
ID#AAACGm7XmkQ
jeny ruiz    (2026-10-01 13:23:12)
Control del nivel de acuedo entre las partes Cliente y Desarrollador</t>
        </r>
      </text>
    </comment>
    <comment ref="F7" authorId="0" shapeId="0" xr:uid="{00000000-0006-0000-0000-000014000000}">
      <text>
        <r>
          <rPr>
            <sz val="11"/>
            <color theme="1"/>
            <rFont val="Calibri"/>
            <scheme val="minor"/>
          </rPr>
          <t>======
ID#AAACGm7Xmkw
jeny ruiz    (2026-10-01 13:23:12)
La información contenida en memoria se utiliza para actualizar los campos de la base de datos.</t>
        </r>
      </text>
    </comment>
    <comment ref="G7" authorId="0" shapeId="0" xr:uid="{00000000-0006-0000-0000-000002000000}">
      <text>
        <r>
          <rPr>
            <sz val="11"/>
            <color theme="1"/>
            <rFont val="Calibri"/>
            <scheme val="minor"/>
          </rPr>
          <t>======
ID#AAACGm7Xmio
jeny ruiz    (2026-10-01 13:23:12)
Control del nivel de acuedo entre las partes Cliente y Desarrollador</t>
        </r>
      </text>
    </comment>
    <comment ref="I7" authorId="0" shapeId="0" xr:uid="{00000000-0006-0000-0000-000003000000}">
      <text>
        <r>
          <rPr>
            <sz val="11"/>
            <color theme="1"/>
            <rFont val="Calibri"/>
            <scheme val="minor"/>
          </rPr>
          <t>======
ID#AAACGm7XmlU
jeny ruiz    (2026-10-01 13:23:12)
Se guarda en un archivo Excel los registros que dieron un problema en la actualización.</t>
        </r>
      </text>
    </comment>
    <comment ref="J7" authorId="0" shapeId="0" xr:uid="{00000000-0006-0000-0000-000005000000}">
      <text>
        <r>
          <rPr>
            <sz val="11"/>
            <color theme="1"/>
            <rFont val="Calibri"/>
            <scheme val="minor"/>
          </rPr>
          <t>======
ID#AAACGm7XmjA
jeny ruiz    (2026-10-01 13:23:12)
Control del nivel de acuedo entre las partes Cliente y Desarrollador</t>
        </r>
      </text>
    </comment>
    <comment ref="K7" authorId="0" shapeId="0" xr:uid="{00000000-0006-0000-0000-000006000000}">
      <text>
        <r>
          <rPr>
            <sz val="11"/>
            <color theme="1"/>
            <rFont val="Calibri"/>
            <scheme val="minor"/>
          </rPr>
          <t>======
ID#AAACGm7Xmjg
jeny ruiz    (2026-10-01 13:23:12)
jeny ruiz:
Posterior a la actualización, se guardaran automáticamente el nombre de usuario, fecha, hora, registro antiguo, registro nuevo.</t>
        </r>
      </text>
    </comment>
    <comment ref="C9" authorId="0" shapeId="0" xr:uid="{00000000-0006-0000-0000-000011000000}">
      <text>
        <r>
          <rPr>
            <sz val="11"/>
            <color theme="1"/>
            <rFont val="Calibri"/>
            <scheme val="minor"/>
          </rPr>
          <t>======
ID#AAACGm7Xmis
jeny ruiz    (2026-10-01 13:23:12)
Todos los interesados reconocen que el  requisito es correcto y relevante</t>
        </r>
      </text>
    </comment>
    <comment ref="F9" authorId="0" shapeId="0" xr:uid="{00000000-0006-0000-0000-000012000000}">
      <text>
        <r>
          <rPr>
            <sz val="11"/>
            <color theme="1"/>
            <rFont val="Calibri"/>
            <scheme val="minor"/>
          </rPr>
          <t>======
ID#AAACGm7Xmjo
jeny ruiz    (2026-10-01 13:23:12)
Es importante ingresar el archivo plano en formato excel para el cliente y el desarrollador</t>
        </r>
      </text>
    </comment>
    <comment ref="I9" authorId="0" shapeId="0" xr:uid="{00000000-0006-0000-0000-000001000000}">
      <text>
        <r>
          <rPr>
            <sz val="11"/>
            <color theme="1"/>
            <rFont val="Calibri"/>
            <scheme val="minor"/>
          </rPr>
          <t>======
ID#AAACGm7XmjM
jeny ruiz    (2026-10-01 13:23:12)
Es importante ingresar el archivo plano en formato excel para el cliente y el desarrollador</t>
        </r>
      </text>
    </comment>
    <comment ref="K9" authorId="0" shapeId="0" xr:uid="{00000000-0006-0000-0000-000004000000}">
      <text>
        <r>
          <rPr>
            <sz val="11"/>
            <color theme="1"/>
            <rFont val="Calibri"/>
            <scheme val="minor"/>
          </rPr>
          <t>======
ID#AAACGm7XmkA
jeny ruiz    (2026-10-01 13:23:12)
Es importante ingresar el archivo plano en formato excel para el cliente y el desarrollador</t>
        </r>
      </text>
    </comment>
    <comment ref="C10" authorId="0" shapeId="0" xr:uid="{00000000-0006-0000-0000-000010000000}">
      <text>
        <r>
          <rPr>
            <sz val="11"/>
            <color theme="1"/>
            <rFont val="Calibri"/>
            <scheme val="minor"/>
          </rPr>
          <t>======
ID#AAACGm7Xmk0
jeny ruiz    (2026-10-01 13:23:12)
Ponderado por importancia o prioridad</t>
        </r>
      </text>
    </comment>
    <comment ref="C11" authorId="0" shapeId="0" xr:uid="{00000000-0006-0000-0000-00000F000000}">
      <text>
        <r>
          <rPr>
            <sz val="11"/>
            <color theme="1"/>
            <rFont val="Calibri"/>
            <scheme val="minor"/>
          </rPr>
          <t>======
ID#AAACGm7Xmiw
jeny ruiz    (2026-10-01 13:23:12)
Todos los lectores comprenden de la misma manera, sólo una interpretación</t>
        </r>
      </text>
    </comment>
    <comment ref="C12" authorId="0" shapeId="0" xr:uid="{00000000-0006-0000-0000-00000E000000}">
      <text>
        <r>
          <rPr>
            <sz val="11"/>
            <color theme="1"/>
            <rFont val="Calibri"/>
            <scheme val="minor"/>
          </rPr>
          <t>======
ID#AAACGm7Xmkk
jeny ruiz    (2026-10-01 13:23:12)
Toda nueva información  ha sido incorporada</t>
        </r>
      </text>
    </comment>
    <comment ref="C13" authorId="0" shapeId="0" xr:uid="{00000000-0006-0000-0000-00000D000000}">
      <text>
        <r>
          <rPr>
            <sz val="11"/>
            <color theme="1"/>
            <rFont val="Calibri"/>
            <scheme val="minor"/>
          </rPr>
          <t>======
ID#AAACGm7XmlM
jeny ruiz    (2026-10-01 13:23:12)
Refleja las espectativas  del implicado</t>
        </r>
      </text>
    </comment>
    <comment ref="C14" authorId="0" shapeId="0" xr:uid="{00000000-0006-0000-0000-00000C000000}">
      <text>
        <r>
          <rPr>
            <sz val="11"/>
            <color theme="1"/>
            <rFont val="Calibri"/>
            <scheme val="minor"/>
          </rPr>
          <t>======
ID#AAACGm7XmjQ
jeny ruiz    (2026-10-01 13:23:12)
Sin contradicciones</t>
        </r>
      </text>
    </comment>
    <comment ref="C15" authorId="0" shapeId="0" xr:uid="{00000000-0006-0000-0000-00000B000000}">
      <text>
        <r>
          <rPr>
            <sz val="11"/>
            <color theme="1"/>
            <rFont val="Calibri"/>
            <scheme val="minor"/>
          </rPr>
          <t>======
ID#AAACGm7XmlQ
jeny ruiz    (2026-10-01 13:23:12)
Su cumplimiento o no cumplimiento puede der probado con un esfuerzo razonable</t>
        </r>
      </text>
    </comment>
    <comment ref="C16" authorId="0" shapeId="0" xr:uid="{00000000-0006-0000-0000-00000A000000}">
      <text>
        <r>
          <rPr>
            <sz val="11"/>
            <color theme="1"/>
            <rFont val="Calibri"/>
            <scheme val="minor"/>
          </rPr>
          <t>======
ID#AAACGm7XmjU
jeny ruiz    (2026-10-01 13:23:12)
Puede ser implementado  y desarrollado en las condiciones actuales(tiempo, Presupuest,, orgtanizaciòn, ect)</t>
        </r>
      </text>
    </comment>
    <comment ref="C17" authorId="0" shapeId="0" xr:uid="{00000000-0006-0000-0000-000009000000}">
      <text>
        <r>
          <rPr>
            <sz val="11"/>
            <color theme="1"/>
            <rFont val="Calibri"/>
            <scheme val="minor"/>
          </rPr>
          <t>======
ID#AAACGm7Xmk4
jeny ruiz    (2026-10-01 13:23:12)
El origen del requisito y sus relaciones con otros requisitos  están claros.</t>
        </r>
      </text>
    </comment>
    <comment ref="C18" authorId="0" shapeId="0" xr:uid="{00000000-0006-0000-0000-000008000000}">
      <text>
        <r>
          <rPr>
            <sz val="11"/>
            <color theme="1"/>
            <rFont val="Calibri"/>
            <scheme val="minor"/>
          </rPr>
          <t>======
ID#AAACGm7XmkU
jeny ruiz    (2026-10-01 13:23:12)
Trata todos los asuntos relevantes</t>
        </r>
      </text>
    </comment>
    <comment ref="C19" authorId="0" shapeId="0" xr:uid="{00000000-0006-0000-0000-000007000000}">
      <text>
        <r>
          <rPr>
            <sz val="11"/>
            <color theme="1"/>
            <rFont val="Calibri"/>
            <scheme val="minor"/>
          </rPr>
          <t>======
ID#AAACGm7Xmi0
jeny ruiz    (2026-10-01 13:23:12)
Para todos los interesados dependiendo  de la fase del proyecto podrían estar involucrados  distintos implicados,(Glosario de tèrminos)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NXMnDHCrXNV9n1lfcocnysu+JVw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8" authorId="0" shapeId="0" xr:uid="{00000000-0006-0000-0100-000009000000}">
      <text>
        <r>
          <rPr>
            <sz val="11"/>
            <color theme="1"/>
            <rFont val="Calibri"/>
            <scheme val="minor"/>
          </rPr>
          <t>======
ID#AAACGm7Xmkg
ESPE    (2026-10-01 13:23:12)
COMPLETITUD DOCUMENTO</t>
        </r>
      </text>
    </comment>
    <comment ref="B9" authorId="0" shapeId="0" xr:uid="{00000000-0006-0000-0100-000008000000}">
      <text>
        <r>
          <rPr>
            <sz val="11"/>
            <color theme="1"/>
            <rFont val="Calibri"/>
            <scheme val="minor"/>
          </rPr>
          <t>======
ID#AAACGm7Xmks
ESPE    (2026-10-01 13:23:12)
COMPLETITUD REQUISITO INDIVIDUAL</t>
        </r>
      </text>
    </comment>
    <comment ref="B10" authorId="0" shapeId="0" xr:uid="{00000000-0006-0000-0100-000007000000}">
      <text>
        <r>
          <rPr>
            <sz val="11"/>
            <color theme="1"/>
            <rFont val="Calibri"/>
            <scheme val="minor"/>
          </rPr>
          <t>======
ID#AAACGm7Xmjk
ESPE    (2026-10-01 13:23:12)
TRAZABILIDAD</t>
        </r>
      </text>
    </comment>
    <comment ref="B11" authorId="0" shapeId="0" xr:uid="{00000000-0006-0000-0100-000006000000}">
      <text>
        <r>
          <rPr>
            <sz val="11"/>
            <color theme="1"/>
            <rFont val="Calibri"/>
            <scheme val="minor"/>
          </rPr>
          <t>======
ID#AAACGm7XmkM
ESPE    (2026-10-01 13:23:12)
trazabilidad</t>
        </r>
      </text>
    </comment>
    <comment ref="B12" authorId="0" shapeId="0" xr:uid="{00000000-0006-0000-0100-000005000000}">
      <text>
        <r>
          <rPr>
            <sz val="11"/>
            <color theme="1"/>
            <rFont val="Calibri"/>
            <scheme val="minor"/>
          </rPr>
          <t>======
ID#AAACGm7XmjY
ESPE    (2026-10-01 13:23:12)
TRAZABILIDAD</t>
        </r>
      </text>
    </comment>
    <comment ref="B13" authorId="0" shapeId="0" xr:uid="{00000000-0006-0000-0100-000004000000}">
      <text>
        <r>
          <rPr>
            <sz val="11"/>
            <color theme="1"/>
            <rFont val="Calibri"/>
            <scheme val="minor"/>
          </rPr>
          <t>======
ID#AAACGm7XmlY
ESPE    (2026-10-01 13:23:12)
CORRECCION</t>
        </r>
      </text>
    </comment>
    <comment ref="B14" authorId="0" shapeId="0" xr:uid="{00000000-0006-0000-0100-000003000000}">
      <text>
        <r>
          <rPr>
            <sz val="11"/>
            <color theme="1"/>
            <rFont val="Calibri"/>
            <scheme val="minor"/>
          </rPr>
          <t>======
ID#AAACGm7Xmi4
ESPE    (2026-10-01 13:23:12)
CONSISTENCIA</t>
        </r>
      </text>
    </comment>
    <comment ref="B15" authorId="0" shapeId="0" xr:uid="{00000000-0006-0000-0100-000002000000}">
      <text>
        <r>
          <rPr>
            <sz val="11"/>
            <color theme="1"/>
            <rFont val="Calibri"/>
            <scheme val="minor"/>
          </rPr>
          <t>======
ID#AAACGm7XmkY
ESPE    (2026-10-01 13:23:12)
NECESIDAD</t>
        </r>
      </text>
    </comment>
    <comment ref="B16" authorId="0" shapeId="0" xr:uid="{00000000-0006-0000-0100-000001000000}">
      <text>
        <r>
          <rPr>
            <sz val="11"/>
            <color theme="1"/>
            <rFont val="Calibri"/>
            <scheme val="minor"/>
          </rPr>
          <t>======
ID#AAACGm7Xmkc
ESPE    (2026-10-01 13:23:12)
verificable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v1pJPbyUW3bbzVzRYNokrvBanuQ=="/>
    </ext>
  </extL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8" authorId="0" shapeId="0" xr:uid="{00000000-0006-0000-0200-000009000000}">
      <text>
        <r>
          <rPr>
            <sz val="11"/>
            <color theme="1"/>
            <rFont val="Calibri"/>
            <scheme val="minor"/>
          </rPr>
          <t>======
ID#AAACGm7Xmjs
ESPE    (2026-10-01 13:23:12)
COMPLETITUD DOCUMENTO</t>
        </r>
      </text>
    </comment>
    <comment ref="B9" authorId="0" shapeId="0" xr:uid="{00000000-0006-0000-0200-000008000000}">
      <text>
        <r>
          <rPr>
            <sz val="11"/>
            <color theme="1"/>
            <rFont val="Calibri"/>
            <scheme val="minor"/>
          </rPr>
          <t>======
ID#AAACGm7Xmko
ESPE    (2026-10-01 13:23:12)
COMPLETITUD REQUISITO INDIVIDUAL</t>
        </r>
      </text>
    </comment>
    <comment ref="B10" authorId="0" shapeId="0" xr:uid="{00000000-0006-0000-0200-000007000000}">
      <text>
        <r>
          <rPr>
            <sz val="11"/>
            <color theme="1"/>
            <rFont val="Calibri"/>
            <scheme val="minor"/>
          </rPr>
          <t>======
ID#AAACGm7XmlE
ESPE    (2026-10-01 13:23:12)
TRAZABILIDAD</t>
        </r>
      </text>
    </comment>
    <comment ref="B11" authorId="0" shapeId="0" xr:uid="{00000000-0006-0000-0200-000006000000}">
      <text>
        <r>
          <rPr>
            <sz val="11"/>
            <color theme="1"/>
            <rFont val="Calibri"/>
            <scheme val="minor"/>
          </rPr>
          <t>======
ID#AAACGm7Xmjc
ESPE    (2026-10-01 13:23:12)
trazabilidad</t>
        </r>
      </text>
    </comment>
    <comment ref="B12" authorId="0" shapeId="0" xr:uid="{00000000-0006-0000-0200-000005000000}">
      <text>
        <r>
          <rPr>
            <sz val="11"/>
            <color theme="1"/>
            <rFont val="Calibri"/>
            <scheme val="minor"/>
          </rPr>
          <t>======
ID#AAACGm7Xmjw
ESPE    (2026-10-01 13:23:12)
TRAZABILIDAD</t>
        </r>
      </text>
    </comment>
    <comment ref="B13" authorId="0" shapeId="0" xr:uid="{00000000-0006-0000-0200-000004000000}">
      <text>
        <r>
          <rPr>
            <sz val="11"/>
            <color theme="1"/>
            <rFont val="Calibri"/>
            <scheme val="minor"/>
          </rPr>
          <t>======
ID#AAACGm7Xmj4
ESPE    (2026-10-01 13:23:12)
CORRECCION</t>
        </r>
      </text>
    </comment>
    <comment ref="B14" authorId="0" shapeId="0" xr:uid="{00000000-0006-0000-0200-000003000000}">
      <text>
        <r>
          <rPr>
            <sz val="11"/>
            <color theme="1"/>
            <rFont val="Calibri"/>
            <scheme val="minor"/>
          </rPr>
          <t>======
ID#AAACGm7XmlA
ESPE    (2026-10-01 13:23:12)
CONSISTENCIA</t>
        </r>
      </text>
    </comment>
    <comment ref="B15" authorId="0" shapeId="0" xr:uid="{00000000-0006-0000-0200-000002000000}">
      <text>
        <r>
          <rPr>
            <sz val="11"/>
            <color theme="1"/>
            <rFont val="Calibri"/>
            <scheme val="minor"/>
          </rPr>
          <t>======
ID#AAACGm7XmkE
ESPE    (2026-10-01 13:23:12)
NECESIDAD</t>
        </r>
      </text>
    </comment>
    <comment ref="B16" authorId="0" shapeId="0" xr:uid="{00000000-0006-0000-0200-000001000000}">
      <text>
        <r>
          <rPr>
            <sz val="11"/>
            <color theme="1"/>
            <rFont val="Calibri"/>
            <scheme val="minor"/>
          </rPr>
          <t>======
ID#AAACGm7Xmj0
ESPE    (2026-10-01 13:23:12)
verificable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A08HEaQVlRcSRtgHCmp2ZDd0KaQ=="/>
    </ext>
  </extL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8" authorId="0" shapeId="0" xr:uid="{00000000-0006-0000-0300-000009000000}">
      <text>
        <r>
          <rPr>
            <sz val="11"/>
            <color theme="1"/>
            <rFont val="Calibri"/>
            <scheme val="minor"/>
          </rPr>
          <t>======
ID#AAACGm7Xmig
ESPE    (2026-10-01 13:23:12)
COMPLETITUD DOCUMENTO</t>
        </r>
      </text>
    </comment>
    <comment ref="B9" authorId="0" shapeId="0" xr:uid="{00000000-0006-0000-0300-000008000000}">
      <text>
        <r>
          <rPr>
            <sz val="11"/>
            <color theme="1"/>
            <rFont val="Calibri"/>
            <scheme val="minor"/>
          </rPr>
          <t>======
ID#AAACGm7Xmk8
ESPE    (2026-10-01 13:23:12)
COMPLETITUD REQUISITO INDIVIDUAL</t>
        </r>
      </text>
    </comment>
    <comment ref="B10" authorId="0" shapeId="0" xr:uid="{00000000-0006-0000-0300-000007000000}">
      <text>
        <r>
          <rPr>
            <sz val="11"/>
            <color theme="1"/>
            <rFont val="Calibri"/>
            <scheme val="minor"/>
          </rPr>
          <t>======
ID#AAACGm7XmkI
ESPE    (2026-10-01 13:23:12)
TRAZABILIDAD</t>
        </r>
      </text>
    </comment>
    <comment ref="B11" authorId="0" shapeId="0" xr:uid="{00000000-0006-0000-0300-000006000000}">
      <text>
        <r>
          <rPr>
            <sz val="11"/>
            <color theme="1"/>
            <rFont val="Calibri"/>
            <scheme val="minor"/>
          </rPr>
          <t>======
ID#AAACGm7XmjI
ESPE    (2026-10-01 13:23:12)
trazabilidad</t>
        </r>
      </text>
    </comment>
    <comment ref="B12" authorId="0" shapeId="0" xr:uid="{00000000-0006-0000-0300-000005000000}">
      <text>
        <r>
          <rPr>
            <sz val="11"/>
            <color theme="1"/>
            <rFont val="Calibri"/>
            <scheme val="minor"/>
          </rPr>
          <t>======
ID#AAACGm7Xmi8
ESPE    (2026-10-01 13:23:12)
TRAZABILIDAD</t>
        </r>
      </text>
    </comment>
    <comment ref="B13" authorId="0" shapeId="0" xr:uid="{00000000-0006-0000-0300-000004000000}">
      <text>
        <r>
          <rPr>
            <sz val="11"/>
            <color theme="1"/>
            <rFont val="Calibri"/>
            <scheme val="minor"/>
          </rPr>
          <t>======
ID#AAACGm7Xmj8
ESPE    (2026-10-01 13:23:12)
CORRECCION</t>
        </r>
      </text>
    </comment>
    <comment ref="B14" authorId="0" shapeId="0" xr:uid="{00000000-0006-0000-0300-000003000000}">
      <text>
        <r>
          <rPr>
            <sz val="11"/>
            <color theme="1"/>
            <rFont val="Calibri"/>
            <scheme val="minor"/>
          </rPr>
          <t>======
ID#AAACGm7Xmik
ESPE    (2026-10-01 13:23:12)
CONSISTENCIA</t>
        </r>
      </text>
    </comment>
    <comment ref="B15" authorId="0" shapeId="0" xr:uid="{00000000-0006-0000-0300-000002000000}">
      <text>
        <r>
          <rPr>
            <sz val="11"/>
            <color theme="1"/>
            <rFont val="Calibri"/>
            <scheme val="minor"/>
          </rPr>
          <t>======
ID#AAACGm7XmlI
ESPE    (2026-10-01 13:23:12)
NECESIDAD</t>
        </r>
      </text>
    </comment>
    <comment ref="B16" authorId="0" shapeId="0" xr:uid="{00000000-0006-0000-0300-000001000000}">
      <text>
        <r>
          <rPr>
            <sz val="11"/>
            <color theme="1"/>
            <rFont val="Calibri"/>
            <scheme val="minor"/>
          </rPr>
          <t>======
ID#AAACGm7XmjE
ESPE    (2026-10-01 13:23:12)
verificable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HXFVXBOT+0+DNSXp+J3n6BdHweg=="/>
    </ext>
  </extLst>
</comments>
</file>

<file path=xl/sharedStrings.xml><?xml version="1.0" encoding="utf-8"?>
<sst xmlns="http://schemas.openxmlformats.org/spreadsheetml/2006/main" count="1017" uniqueCount="187">
  <si>
    <t>MATRIZ PARA COMPROBACIÓN REQUERIMIENTOS DE CALIDAD DE PROYECTO ACADEMICO</t>
  </si>
  <si>
    <t>SISTEMA:</t>
  </si>
  <si>
    <t>SISTEMA DE INSCRIPCIÓN DE CURSOS (SIC)</t>
  </si>
  <si>
    <t>Requerimientos  Funcionales</t>
  </si>
  <si>
    <t>Nº</t>
  </si>
  <si>
    <t>CRITERIOS DE CALIDAD (Documento/Requerimientos)</t>
  </si>
  <si>
    <t>Status
Nivel de Acuerdo</t>
  </si>
  <si>
    <t>CU-01 Acceder al sistema</t>
  </si>
  <si>
    <t>CU - 02 Gestionar perfiles</t>
  </si>
  <si>
    <t>CU - 03 Gestionar Docentes</t>
  </si>
  <si>
    <t>CU - 04 Gestionar cursos</t>
  </si>
  <si>
    <t>CU - 05 Completar inscripción en línea</t>
  </si>
  <si>
    <t>CU - 06 Gestionar becas</t>
  </si>
  <si>
    <t>Status
 Nivel de Acuerdo</t>
  </si>
  <si>
    <t>CU - 07 Consultar reportes académicos</t>
  </si>
  <si>
    <t>CU - 08 Consultar reportes financieros</t>
  </si>
  <si>
    <t>CU - 09 Gestionar auditoría</t>
  </si>
  <si>
    <t>CU - 10 Gestionar notificaciones</t>
  </si>
  <si>
    <t>Agreed</t>
  </si>
  <si>
    <t>OK</t>
  </si>
  <si>
    <t>1. Minutas de entrevistas al departamento de TICS y jefe académico.                                                                   2. Audios de entrevistas al departamento de TICS y jefe académico.</t>
  </si>
  <si>
    <t>1. Minutas de entrevistas al departamento de TICS y jefe académico.                                                                   2. Audios de entrevistas al departamento de TICS y jefe académico.                                                                                                                                  3. Consenso institucional sobre las reglas de apertura de cursos (mínimo 10 participantes), modalidades y causas de reprogramación</t>
  </si>
  <si>
    <t>1. Minutas de entrevistas al departamento de TICS y jefe académico.                                                                   2. Audios de entrevistas al departamento de TICS y jefe académico.                                3.Interfaces revisadas y validadas mediante reuniones asincrónicas entre  el jefe de TICS y jefe académico.</t>
  </si>
  <si>
    <t>1. Minuta de la entrevista.
 2. Audio de la entrevista.</t>
  </si>
  <si>
    <t>Ranked</t>
  </si>
  <si>
    <t xml:space="preserve">1. Los requisitos asociados tienen prioridad definida mediante la técnica MoSCoW.                       2. Clasificación "Must have" para Iniciar sesión (RF-04) y Cambiar contraseña (RF-05).                                              3.Clasificación "Should have" para Recuperar contraseña (RF-27) </t>
  </si>
  <si>
    <t>1.Los requisitos asociados tienen prioridad definida mediante la técnica MoSCoW.             2.Clasificación "Must have" para Crear perfil (RF-01), Registrar usuario (RF-02) y Asignar usuario a perfil (RF-03).                                      3.Clasificación "Should have" para Modificar perfil (RF-28), Consultar perfiles (RF-29) y Desactivar acceso (RF-31).</t>
  </si>
  <si>
    <t>1. Los requisitos asociados al CU-03 tienen su prioridad definida como Must have mediante MoSCoW.</t>
  </si>
  <si>
    <t>1. Los requisitos asociados tienen prioridad definida mediante la técnica MoSCoW.                       2. Clasificación "Must have" para la creación académica, condiciones de inscripción y asignación de docentes (RF-08, RF-09 y RF-10).                                              3.Clasificación "Must have" para la modificación y reprogramación de cursos publicados (RF-11 a RF-14)</t>
  </si>
  <si>
    <t>1.Los requisitos asociados tienen prioridad definida mediante la técnica MoSCoW.                              2.Clasificación "Must have" para Completar inscripción en línea (RF-18), Subir comprobante de pago (RF-19), Generar comprobante de inscripción (RF-20) y Consultar estado de inscripción (RF-21).                              3.En este caso de uso todos los requisitos son considerados indispensables para el sistema, por lo que no existen clasificaciones "Should have" o "Could have".</t>
  </si>
  <si>
    <t>1. Requisitos jerarquizados con la técnica MoSCoW y definidos como Must Have (RF-15, RF-16 y RF-17) y como Should Have (RF-33, RF-34, RF-35 y RF-39)</t>
  </si>
  <si>
    <t>1. Los requisitos asociados tienen prioridad definida mediante la técnica MoSCoW.                       2. Clasificación "Must have" para la consulta de inscritos por curso (RF-22).                                              3.Clasificación "Should have" para las consultas de beneficiarios de beca, media beca, cursos habilitados y filtros combinados (RF-34, RF-35, RF-36 y RF-40)</t>
  </si>
  <si>
    <t>1. Los requisitos asociados tienen prioridad definida mediante la técnica MoSCoW.                                                                                       2. Clasificación "Must have" para la consulta de participantes con pago registrado (RF-23), pago pendiente (RF-24) y pagos por curso (RF-25).                                                                                                                                                                                                                      3. Clasificación "Should have" para el filtrado por curso o periodo (RF-40)</t>
  </si>
  <si>
    <t>1. Requisitos jerarquizados con la técnica MoSCoW y definidos como Should Have (RF-42) y como Could Have (RF-44, RF-45 y RF-46).</t>
  </si>
  <si>
    <t xml:space="preserve">1. Los requisitos asociados tienen prioridad definida mediante la técnica MoSCoW.                       2. Clasificación "Must have" para la notificación de reprogramaciones de cursos (RF-26).                                              3.Clasificación "Should have" para las notificaciones de creación, actualización y resultados de beca (RF-37, RF-38 y RF-39contraseña (RF-27) </t>
  </si>
  <si>
    <t>Unambiguos</t>
  </si>
  <si>
    <t xml:space="preserve"> 1. La descripción del caso de uso utiliza lenguaje claro.                                                       2. Se especifican actores, flujo, excepciones y criterios de aceptación.                                             </t>
  </si>
  <si>
    <t xml:space="preserve">1.  Redacción en lenguaje claro.                                                                               2. El equipo interpretan de igual manera el caso de uso </t>
  </si>
  <si>
    <t>1.  La descripción del CU-03 utiliza lenguaje claro.                                                                              2. Se especifica el actor y las funciones que puede realizar.</t>
  </si>
  <si>
    <t xml:space="preserve">1. La descripción del caso de uso utiliza lenguaje claro.                                                       2.Detalle explícito de campos de entrada, tipos de datos, validaciones y tratamiento de excepciones paso a paso                                      3. Formulación de criterios de aceptación estructurados bajo la sintaxis Dado-Cuando-Entonces  </t>
  </si>
  <si>
    <t>1. Redacción formal y estructurada (SRS).
 2. Definición de precondiciones, entradas obligatorias, flujos principales, flujos alternativos y criterios de aceptación.</t>
  </si>
  <si>
    <t xml:space="preserve">1. Redacción formal y en lenguaje claro.                                                                                                                                                                                                                                                2. Se definen explícitamente los campos, estados de pago (Aprobado, Pendiente de validación) y fórmulas contables según FMT-09 y FMT-12.                                                              3. Especificación detallada de flujos, excepciones y criterios de aceptación.   </t>
  </si>
  <si>
    <t>1. Lenguaje claro y formal.
 2. Captura automática de metadatos y reglas de inmutabilidad.</t>
  </si>
  <si>
    <t>Valid and up-to date</t>
  </si>
  <si>
    <t>1. Toda nueva información ha sido incorporada, se han incorporado los últimos cambios pedidos luego del feedback realizado por el cliente</t>
  </si>
  <si>
    <t>1. Se han incorporado los últimos cambios pedidos luego del feedback realizado por el cliente</t>
  </si>
  <si>
    <t>1. Se han incorporado los últimos cambios cambios tras el feedback realizado por el cliente</t>
  </si>
  <si>
    <t>1. Proceso real de selección del CEPEIGE para cursos panamericanos.
 2. Observaciones del cliente sobre la importación de archivos CSV de beneficiarios.</t>
  </si>
  <si>
    <t xml:space="preserve">1. Se han incorporado los últimos cambios pedidos luego del feedback realizado por el cliente.                                                                                                                          2. Refleja los requerimientos financieros actuales para el control de ingresos y saldos de cursos del CEPEIGE. </t>
  </si>
  <si>
    <t>1. Responde a la necesidad institucional de controlar accesos no autorizados.
 2. Aseguramiento del cálculo de trazabilidad.</t>
  </si>
  <si>
    <t>Correct</t>
  </si>
  <si>
    <t>1. Está alineado con los objetivos del sistema.                                                                                                                                                                                                                        2. Refleja lo que realmente necesita el cliente.</t>
  </si>
  <si>
    <t>1. Está alineado con los objetivos del sistema.                                                                                                                                                                                                                        2. Cobertura de las necesidades reales de gestión para cursos presenciales, virtuales e híbridos</t>
  </si>
  <si>
    <t>1. Alineado con el objetivo del sistema.
 2. Resuelve la problemática actual de la dispersión de archivos Excel y formularios independientes.</t>
  </si>
  <si>
    <t>1. Está alineado con los objetivos del sistema.                                                                                                                                                                                                                    2. Refleja lo que realmente necesita el Jefe Financiero para la validación y consolidación de pagos</t>
  </si>
  <si>
    <t>1. Alineado con el Módulo 7: Gestión de Auditoría del sistema SIC y con la Ley Orgánica de Protección de Datos Personales del Ecuador.</t>
  </si>
  <si>
    <t>Consisten</t>
  </si>
  <si>
    <t>1. Documentación basada en modelos: Diagrama de Casos de Uso
2. Usa términos definidos previamente, considerando acrónimos y abreviaturas.                                            3. Ausencia de contradicciones entre las condiciones del flujo principal y los criterios de aceptación.</t>
  </si>
  <si>
    <t xml:space="preserve">1. Documentación basada en modelos: Diagrama de Casos de Uso
2. Usa términos definidos previamente considerarndo acrónimos y abreviaturas.                                                                                               </t>
  </si>
  <si>
    <t>1. Documentación basada en modelos: Diagrama de Casos de Uso
2. Usa términos definidos previamente, considerando acrónimos y abreviaturas.                                                       3. Ausencia de contradicciones entre las condiciones del flujo principal y los criterios de aceptación.</t>
  </si>
  <si>
    <t>1. Documentación mediante Diagrama General de Casos de Uso (UML).
 2. Ausencia de contradicciones entre las condiciones del flujo principal y los criterios de aceptación.</t>
  </si>
  <si>
    <t xml:space="preserve">1. Documentación basada en modelos: Diagrama General de Casos de Uso (UML).                                                                                                                                                2. Usa términos definidos previamente en las secciones de acrónimos y catálogos (FMT-09, FMT-12).                                                                                                                3. Ausencia de contradicciones entre las condiciones del flujo principal y los criterios de aceptación.   </t>
  </si>
  <si>
    <t>Verifiable</t>
  </si>
  <si>
    <t>NOK</t>
  </si>
  <si>
    <t>1. Criterios de aceptación cuantificables y probables para cada requisito funcional.                                                           2.  Falta Casos de Prueba</t>
  </si>
  <si>
    <t>1. Requisito Medible                                                           2.  Falta Casos de Prueba</t>
  </si>
  <si>
    <t>1.El requisito es medible gracias a que cuenta con parámetros claros y Criterios de Aceptación definidos.
2. Se identifica la falta de Casos de Prueba explícitos o escenarios de validación detallados para su ejecución paso a paso.</t>
  </si>
  <si>
    <t>1. Criterios de acepatción factibles.
 2. Falta de Matriz de Casos de Prueba formales.</t>
  </si>
  <si>
    <t>1. Requisito Medible a través de los Criterios de Aceptación definidos para cada reporte.                                                                                                                                             2. Falta de Matriz de Casos de Prueba formales para la ejecución y validación de datos.</t>
  </si>
  <si>
    <t>Realizable</t>
  </si>
  <si>
    <t>1. Funcionalidad tomada en cuenta dentro de la estimación del costo del proyecto (120.42$)
2. No se ha desarrollado</t>
  </si>
  <si>
    <t>1. Funcionalidad tomada en cuenta dentro de la estimación de costos ($120.42).
 2. Módulo no desarrollado en código ejecutable.</t>
  </si>
  <si>
    <t xml:space="preserve">Traceable </t>
  </si>
  <si>
    <t>1. Existe relación entre CU-01 y los requisitos funcionales de acceso, recuperación y cambio de contraseña.                                     2. Los requisitos cuentan con códigos y criterios de aceptación.</t>
  </si>
  <si>
    <t>1. Es claro el origen del requisito y sus relaciones con otros requisitos (Se tiene los criterios de aceptacion para desarrollar la matriz de trazabilidad cliente/casos de uso y casos de uso/casos de uso) 
2. Cuenta con un identificador único</t>
  </si>
  <si>
    <t>1. CU-03 tiene relación con los requisitos funcionales de registrar, consultar, actualizar información y eliminar.                                              2. Los requisitos cuentan con identificadores únicos y criterios de aceptación.</t>
  </si>
  <si>
    <t>1. Relación explícita y bidireccional entre CU-04 y sus requisitos funcionales asociados (RF-08 a RF-14)                                                                                                  2. Código identificador único por requisito y referencias aL formato FMT-04</t>
  </si>
  <si>
    <t>1.Tiene trazabilidad hacia atrás mediante la asociación explícita a su caso de uso de origen (CU-02) y su actor (Jefe TICS).                                                                                        2.Cada requisito funcional cuenta con un identificador único (RF-01, RF-02, RF-03, RF-28, RF-29, RF-31).                                                                                                                            3.Mantiene trazabilidad hacia adelante al vincular los requisitos con los riesgos del proyecto (RSK-02, RSK-03), sus criterios de aceptación y los formatos normativos (FMT-01, FMT-02, FMT-03).</t>
  </si>
  <si>
    <t>1. Trazabilidad bidireccional entre el caso de uso y los requisitos (RF-15 a RF-17, RF33 a RF-35).</t>
  </si>
  <si>
    <t>1. Relación clara entre CU-07 y sus requisitos funcionales derivados (RF-22, RF-34, RF-35, RF-36 y RF-40)                                                                          2. Los requisitos cuentan con códigos y criterios de aceptación.</t>
  </si>
  <si>
    <t>1. Es claro el origen del requisito (CU-08) y sus relaciones con el actor Jefe Financiero y los formatos FMT-09 y FMT-12.                                                              2. Cuenta con un identificador único por cada requisito funcional (RF-23, RF-24, RF-25, RF-40) y se vincula al riesgo RSK-06.</t>
  </si>
  <si>
    <t>1. Trazabilidad bidireccional entre el caso de uso CU-09, los códigos RF-42 a RF-46, el Módulo 7 y los riesgos RSK-02 y RSK-06.</t>
  </si>
  <si>
    <t>1. Relación clara entre CU-10 y sus requisitos funcionales (RF-26, RF-37, RF-38 y RF-39)                                     2. Los requisitos cuentan con códigos y criterios de aceptación.</t>
  </si>
  <si>
    <t>Complete</t>
  </si>
  <si>
    <t>1. Contiene toda la información necesaria (entradas, salidas, flujos, precondiciones, postcondiciones) para entender y diseñar la función. 
2. Describe completamente la funcionalidad esperada.</t>
  </si>
  <si>
    <t>1. Contiene toda la información necesaria (entradas, salidas, precondiciones, postcondiciones) para entender y diseñar la función.                                                                              2. Describe completamente la funcionalidad esperada.</t>
  </si>
  <si>
    <t>1. Contiene toda la información necesaria (entradas, salidas, precondiciones, postcondiciones) para entender y diseñar la función.                                2. Describe completamente la funcionalidad esperada.</t>
  </si>
  <si>
    <t xml:space="preserve">1. El caso de uso abarca la totalidad del ciclo de vida de la gestión de usuarios y perfiles (creación, asignación, modificación, consulta y desactivación).                                                                                           2.Describe explícitamente el flujo principal, los flujos alternativos, las excepciones y el manejo de errores para todos sus requisitos funcionales.                                                                                                                   3.Detalla en su totalidad las entradas obligatorias, validaciones de formato, estados resultantes y salidas del sistema sin vacíos de información.  </t>
  </si>
  <si>
    <t>1. Especifica campos de entrada, validaciones y salidas.
 2. Describe completamente la funcionaliad esperada.</t>
  </si>
  <si>
    <t>1. Contiene toda la información necesaria (entradas, validaciones, flujos, excepciones, salidas y criterios de aceptación) para entender y diseñar la función.                                                                                                                                                                                                                             2. Describe completamente la funcionalidad esperada para el Módulo de Reportes Financieros</t>
  </si>
  <si>
    <t>Understandability</t>
  </si>
  <si>
    <t>1. Se involucra al cliente
2. La información está organizada de forma estructurada.                                                        3. Se utilizan términos definidos en el SRS.                                           4. No existe un glosario de términos definido</t>
  </si>
  <si>
    <t>1. Se involucra al cliente 
3. Se utilizan términos definidos en el SRS.                                           4. No existe un glosario de términos definido</t>
  </si>
  <si>
    <t>1. Se involucra al cliente 
2.La información está organizada y utiliza terminología relacionada con la gestión académica de docentes.                                                  3. No existe un glosario de términos definido.</t>
  </si>
  <si>
    <t>1. Contenido comprensible para el usuario.
 2. Falta de Glosario de Términos.</t>
  </si>
  <si>
    <t>1. Se involucra al cliente
2. La información está organizada de forma estructurada.                                                                                                                                                             3. Se utilizan términos definidos en el SRS.                                                                                                                                                                                   4. No existe un glosario de términos definido</t>
  </si>
  <si>
    <t>FECHA:</t>
  </si>
  <si>
    <t>AUTOR:</t>
  </si>
  <si>
    <t>Camila Bohorquez</t>
  </si>
  <si>
    <t>Daniel Benalcázar</t>
  </si>
  <si>
    <t>REQUERIMIENTOS EVALUADOS :</t>
  </si>
  <si>
    <t>CU002. Gestionar Perfiles</t>
  </si>
  <si>
    <t xml:space="preserve">CU003 Gestionar Docentes </t>
  </si>
  <si>
    <t>CONTENIDO</t>
  </si>
  <si>
    <t>No.</t>
  </si>
  <si>
    <t>Andrés Cárdenas</t>
  </si>
  <si>
    <t>Pregunta</t>
  </si>
  <si>
    <t>SI</t>
  </si>
  <si>
    <t xml:space="preserve">NO </t>
  </si>
  <si>
    <t>Todos los requerimientos relevantes se han documentado?</t>
  </si>
  <si>
    <t>X</t>
  </si>
  <si>
    <t>Se han implementado las funciones requeridas?</t>
  </si>
  <si>
    <t xml:space="preserve"> Existe algún mecanismo que permita seguir el impacto de dicho requerimiento a lo largo del resto de las actividades del ciclo productivo.?</t>
  </si>
  <si>
    <t>El origen de cada requerimento individual está claro ?</t>
  </si>
  <si>
    <t>Que tan facil es devolverse a los requerimientos?</t>
  </si>
  <si>
    <t xml:space="preserve"> Los requerimientos reflejan las necesidades y deseos del cliente?</t>
  </si>
  <si>
    <t>No hay contradicciones entre los requerimientos?</t>
  </si>
  <si>
    <t>El requerimiento que se esta especificando contribuye a alcanzar un objetivo definido ?</t>
  </si>
  <si>
    <t>Existe un proceso acotado (en plazo y presupuesto) que permita determinar que el sistema construido satisface lo descrito en el propio requerimiento?</t>
  </si>
  <si>
    <t>SUMATORIA:</t>
  </si>
  <si>
    <t>PORCENTAJE :</t>
  </si>
  <si>
    <t>DOCUMENTACIÓN</t>
  </si>
  <si>
    <t>Aplica un estandar para la documetación de requerimiento?</t>
  </si>
  <si>
    <t>Cumple con la estructura definida por el estandar?</t>
  </si>
  <si>
    <t>Utiliza un Glosario de términos normalizado?</t>
  </si>
  <si>
    <t>Los requerimientos Funcionales estan sujetos a una única interpretación?</t>
  </si>
  <si>
    <t>El modelo aplicado cumple con la sintaxis?</t>
  </si>
  <si>
    <t>NIVEL DE ACUERDO</t>
  </si>
  <si>
    <t>Todos los requerimientos  han sido acordados con todos los interesados?</t>
  </si>
  <si>
    <t>x</t>
  </si>
  <si>
    <t>Todos los requerimientos  modificados han sido acordados por todos los implicados?</t>
  </si>
  <si>
    <t>Han sido resueltos todos los conflictos conocidos respectos de los requerimientos?</t>
  </si>
  <si>
    <t>RESUMEN</t>
  </si>
  <si>
    <t xml:space="preserve">CONTENIDO </t>
  </si>
  <si>
    <t>CU-04: Gestionar cursos</t>
  </si>
  <si>
    <t xml:space="preserve">CU005 Completar inscripción en línea </t>
  </si>
  <si>
    <t>CU006 Gestionar Becas</t>
  </si>
  <si>
    <t>CU-07: Consultar reportes</t>
  </si>
  <si>
    <t>CU008  Consultar reportes financieros</t>
  </si>
  <si>
    <t>PREGUNTA</t>
  </si>
  <si>
    <t>RECOMENDACIÓN</t>
  </si>
  <si>
    <t>¿Se ha incorporado los cambios sugeridos por el tutor o el cliente?</t>
  </si>
  <si>
    <t>CU009 Gestionar auditoría</t>
  </si>
  <si>
    <t>Si. Se integraron las reglas solicitadas por TICS (bloqueo tras 5 intentos fallidos por 15 min y caducidad de tokens en 30 min según FMT-02 y FMT-03); se recomienda añadir una matriz de control de cambios que vincule cada observación con su versión de atención en el SRS.</t>
  </si>
  <si>
    <t>¿Se mantiene la coherencia con otros requisitos del sistema y utiliza términos o definiciones de forma uniforme a lo largo del documento?</t>
  </si>
  <si>
    <t>Si. Mantiene consistencia con los requisitos de seguridad (RNF-08 a RNF-12) y emplea conceptos homogéneos (credenciales, sesión restringida); se recomienda consolidar estos términos en un glosario formalizado dentro del SRS.</t>
  </si>
  <si>
    <t>¿Se han definido casos de prueba que permitan verificar, de manera objetiva y medible, el cumplimiento del requisito?</t>
  </si>
  <si>
    <t>No. Solo contiene criterios de aceptación Given-When-Then sin casos de prueba ejecutables con datos y resultados esperados; se recomienda diseñar una matriz de casos de prueba de seguridad para evaluar intentos fallidos y tokens expirados.</t>
  </si>
  <si>
    <t>¿Todos los requerimientos  han sido acordados con todos los interesados?</t>
  </si>
  <si>
    <t>Si. Se validó con el Departamento de TICS para cumplir con políticas institucionales y la Ley de Protección de Datos; se recomienda formalizar un acta de validación técnica firmada por TICS para congelar la línea base del módulo.</t>
  </si>
  <si>
    <t>Sí. Se integraron las validaciones de perfiles únicos, contraseñas temporales y políticas de bloqueo ; sería recomendable incluir una matriz de control de cambios para relacionar cada observación con su ajuste en el SRS.</t>
  </si>
  <si>
    <t>Sí. Mantiene consistencia con el Diagrama de Casos de Uso y la matriz de permisos ; es recomendable consolidar conceptos como "perfil activo" y "permisos efectivos" en un glosario formal dentro del SRS.</t>
  </si>
  <si>
    <t>¿Se han definido criterios de aceptación y casos de prueba
 que permitan medir objetivamente el cumplimiento del 
requisito?</t>
  </si>
  <si>
    <t>No. Contiene criterios de aceptación (Given-When-Then), pero no especifica casos de prueba ejecutables con datos y escenarios; es recomendable elaborar una matriz de casos de prueba formales para verificar la inactivación de accesos y cierre de sesiones.</t>
  </si>
  <si>
    <t>Sí. Fue validado mediante entrevistas con el área de TICS y reuniones de consenso; es recomendable suscribir un acta de aprobación formal firmada por TICS para congelar la línea base del módulo.</t>
  </si>
  <si>
    <t>CU-10: Gestionar notificaciones</t>
  </si>
  <si>
    <t>Se recomienda incorporar al inicio del documento una Tabla de Control de Versiones (número de versión, fecha, autor y descripción del cambio) y adjuntar una Matriz de Atención a Observaciones donde se clasifique cada comentario del tutor/cliente (ID de observación, descripción, estado: Incorporada / Justificada / Rechazada, y sección o requisito del SRS modificado).</t>
  </si>
  <si>
    <t>El CU-03 mantiene coherencia con los requisitos funcionales establecidos, sin embargo, se recomienda integrar un glosario de términos para mantener la misma definición de términos en el documento.</t>
  </si>
  <si>
    <t>Se recomienda elaborar una matriz de casos de prueba derivada directamente de los criterios de aceptación y flujos alternativos documentados en el SR, asegurando la trazabilidad bidireccional entre cada requisito (RF/RNF) y sus respectivos casos de prueba unitarios, de integración y de sistema.</t>
  </si>
  <si>
    <t>Se recomienda formalizar una fase de revisión y validación conjunta con todos los actores identificados, incorporar un acta o sección de aprobación formal y cerrar las reglas de negocio pendientes antes de congelar la línea base del alcance.</t>
  </si>
  <si>
    <t>Si. Se incluyó el mínimo de 10 inscritos, modalidades y causales de reprogramación pedidas por la Jefa Académica; se recomienda incorporar una tabla de control de versiones por módulo para registrar estas modificaciones operativas.</t>
  </si>
  <si>
    <t>Si. Guarda coherencia con los estados del curso (FMT-04) y los datos docentes (FMT-05); se recomienda adjuntar un diagrama de máquina de estados UML para asegurar las transiciones válidas del curso.</t>
  </si>
  <si>
    <t>No. Posee criterios de aceptación medibles pero carece de casos de prueba formales; se recomienda elaborar casos de prueba funcionales con análisis de valores límite (ej. 9, 10 y 11 inscritos) y cruces de horarios.</t>
  </si>
  <si>
    <t>Si. Fueron consensuados directamente con la Jefa Académica durante las entrevistas presenciales; se recomienda formalizar un acta de aprobación del alcance académico con la Dirección y Jefatura Académica.</t>
  </si>
  <si>
    <t>Sí. Se incluyó el control de cupos, la validación de archivos de 5 MB , el comprobante en PDF y la separación de estados ; es recomendable adjuntar los prototipos no funcionales (wireframes) aprobados por el cliente.</t>
  </si>
  <si>
    <t>Sí. Existe coherencia con los formatos FMT-03, FMT-09, FMT-10 y FMT-11; es recomendable unificar en el glosario la diferencia entre "comprobante de pago" y "comprobante de inscripción".</t>
  </si>
  <si>
    <t>No. Presenta criterios de aceptación cuantificables, pero carece de casos de prueba formales; sería recomendable estructurar casos de prueba de integración que evalúen inscripciones duplicadas, malware y concurrencia de cupos.</t>
  </si>
  <si>
    <t>Sí. Se validó con la Jefa Académica y TICS en sesiones de levantamiento; es recomendable formalizar el acta de conformidad final para cerrar la especificación del flujo de inscripción.</t>
  </si>
  <si>
    <t>El CU-06 mantiene coherencia con los requisitos funcionales establecidos, sin embargo, se recomienda integrar un glosario de términos para mantener la misma definición de términos en el documento.</t>
  </si>
  <si>
    <t>Elaborar una Matriz de Casos de Prueba derivada de los Criterios de Aceptación (en formato Given-When-Then) que permita validar objetivamente la carga del CSV, verificando la aceptación de coberturas válidas (50% y 100%) y el rechazo automático de registros duplicados o corruptos.</t>
  </si>
  <si>
    <t>Formalizar una fase de revisión y validación conjunta con todos los actores (Jefa Académica, Dirección y Financiero), adjuntando un Acta de Aprobación Formal firmada antes de congelar la línea base del alcance.</t>
  </si>
  <si>
    <t>Si. Se crearon reportes centralizados de inscritos y beneficiarios de beca (100 %) y media beca (50 %) requeridos por la Jefa Académica; se recomienda adjuntar prototipos no funcionales (wireframes) para validar la disposición visual de las columnas.</t>
  </si>
  <si>
    <t>Si. Se articula con los estados de inscripción (FMT-09) y el catálogo de reportes (FMT-12); se recomienda normalizar en el glosario las definiciones y fórmulas exactas de las métricas reportadas.</t>
  </si>
  <si>
    <t>Sí. Se estructuraron las consultas de pagos registrados, pendientes, consolidados por curso y filtros combinados (RF-23, RF-24, RF-25, RF-40); es reocmendable incluir una tabla de trazabilidad de cambios para auditar el ajuste de estas funciones.</t>
  </si>
  <si>
    <t>Sí. Mantiene alineación con los estados de pago (FMT-09) y las fórmulas del catálogo de reportes (FMT-12); es recomendable definir formalmente en un anexo las fórmulas de "saldo pendiente" y "monto validado".</t>
  </si>
  <si>
    <t>No. Los criterios de aceptación no sustituyen casos de prueba formales ante filtros vacíos o combinados; se recomienda estructurar casos de prueba de integración que evalúen el rendimiento con distintos volúmenes de datos.</t>
  </si>
  <si>
    <t>Si. Fueron validados con la Jefa Académica para atender la supervisión institucional; se recomienda definir una matriz de permisos de visualización que delimite qué perfiles pueden exportar información sensible.</t>
  </si>
  <si>
    <t>No. Incluye criterios de aceptación medibles, pero no contiene casos de prueba ejecutables; sería recomendable diseñar una matriz de casos de prueba financieros para validar la exactitud de los cálculos y filtros.</t>
  </si>
  <si>
    <t>Sí. Fue concertado con el Jefe Financiero y el departamento de TICS; es recomendable suscribir el acta de aprobación firmada por la Jefatura Financiera para validar la estructura de las métricas.</t>
  </si>
  <si>
    <t>Incorporar al inicio del SRS una Tabla de Control de Versiones (versión, fecha, autor y descripción del cambio) y adjuntar una Matriz de Atención a Observaciones donde se clasifique cada comentario del tutor o cliente (ID de observación, descripción, estado: Incorporada / Justificada / Rechazada y sección/RF modificado)</t>
  </si>
  <si>
    <t>Integrar en el SRS la definición explícita y uniforme de términos técnicos de auditoría como: Evento Auditable, Inmutabilidad, Hash de Integridad, Valores Previo y Posterior y Bitácora de Sistema.</t>
  </si>
  <si>
    <t>Diseñar una Matriz de Casos de Prueba de Seguridad y Auditoría (formato Given-When-Then) para verificar que ningún usuario (incluso con perfil administrativo) pueda editar o eliminar registros de la bitácora desde la interfaz web, y validar la autenticidad del hash de integridad en las exportaciones PDF/CSV/XLSX.</t>
  </si>
  <si>
    <t>Se recomienda ejecutar la sesión de validación final con el Director y el área de TICS para la firma del Acta de Aprobación de Requisitos del Módulo de Auditoría, garantizando el cierre de todos los criterios antes del pase a desarrollo.</t>
  </si>
  <si>
    <t>Si. Se priorizó el correo electrónico institucional y la política de 3 reintentos en 24 horas pedida por TICS (FMT-13); se recomienda elaborar una matriz de contingencia técnica ante caídas de proveedores de mensajería.</t>
  </si>
  <si>
    <t>Si. Es consistente con los eventos de cursos (CU-04), becas (CU-06) y la estructura de FMT-13; se recomienda establecer un catálogo de plantillas de mensajes vinculado directamente al diccionario de datos.</t>
  </si>
  <si>
    <t>No. Posee criterios de aceptación para el envío pero carece de casos de prueba para fallos de canal o reintentos; se recomienda estructurar casos de prueba de estrés y tolerancia a fallos simulando caídas del servidor SMTP.</t>
  </si>
  <si>
    <t>Si. Existió consenso con la Jefa Académica (comunicación al estudiante) y con TICS (viabilidad técnica); se recomienda firmar un Acuerdo de Nivel de Servicio (SLA) con TICS para formalizar los límites de envío por hora.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</si>
</sst>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3" x14ac:knownFonts="1">
    <font>
      <sz val="11"/>
      <color theme="1"/>
      <name val="Calibri"/>
      <scheme val="minor"/>
    </font>
    <font>
      <sz val="8"/>
      <color theme="1"/>
      <name val="Arial"/>
    </font>
    <font>
      <b/>
      <sz val="18"/>
      <color rgb="FF1F497D"/>
      <name val="Calibri"/>
    </font>
    <font>
      <b/>
      <sz val="18"/>
      <color theme="1"/>
      <name val="Calibri"/>
    </font>
    <font>
      <b/>
      <sz val="18"/>
      <color theme="1"/>
      <name val="Arial"/>
    </font>
    <font>
      <sz val="11"/>
      <name val="Calibri"/>
    </font>
    <font>
      <b/>
      <sz val="12"/>
      <color theme="1"/>
      <name val="Arial"/>
    </font>
    <font>
      <b/>
      <sz val="11"/>
      <color theme="1"/>
      <name val="Arial"/>
    </font>
    <font>
      <sz val="11"/>
      <color theme="1"/>
      <name val="Calibri"/>
    </font>
    <font>
      <b/>
      <sz val="12"/>
      <color rgb="FF000000"/>
      <name val="Arial"/>
    </font>
    <font>
      <b/>
      <sz val="11"/>
      <color rgb="FF000000"/>
      <name val="Arial"/>
    </font>
    <font>
      <b/>
      <sz val="16"/>
      <color theme="0"/>
      <name val="Calibri"/>
    </font>
    <font>
      <b/>
      <sz val="16"/>
      <color theme="1"/>
      <name val="Calibri"/>
    </font>
    <font>
      <b/>
      <sz val="12"/>
      <color rgb="FFFFFFFF"/>
      <name val="Calibri"/>
    </font>
    <font>
      <sz val="11"/>
      <color theme="1"/>
      <name val="Calibri"/>
    </font>
    <font>
      <b/>
      <sz val="16"/>
      <color rgb="FF000000"/>
      <name val="Calibri"/>
    </font>
    <font>
      <b/>
      <sz val="16"/>
      <color rgb="FFFFFFFF"/>
      <name val="Calibri"/>
    </font>
    <font>
      <b/>
      <sz val="14"/>
      <color theme="1"/>
      <name val="Calibri"/>
    </font>
    <font>
      <sz val="14"/>
      <color theme="1"/>
      <name val="Calibri"/>
    </font>
    <font>
      <b/>
      <sz val="18"/>
      <color rgb="FFFA7D00"/>
      <name val="Calibri"/>
    </font>
    <font>
      <b/>
      <sz val="11"/>
      <color theme="1"/>
      <name val="Calibri"/>
    </font>
    <font>
      <b/>
      <sz val="11"/>
      <color theme="1"/>
      <name val="Calibri"/>
      <scheme val="minor"/>
    </font>
    <font>
      <b/>
      <sz val="11"/>
      <color theme="0"/>
      <name val="Calibri"/>
    </font>
  </fonts>
  <fills count="9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theme="4"/>
        <bgColor theme="4"/>
      </patternFill>
    </fill>
    <fill>
      <patternFill patternType="solid">
        <fgColor rgb="FF92D050"/>
        <bgColor rgb="FF92D050"/>
      </patternFill>
    </fill>
    <fill>
      <patternFill patternType="solid">
        <fgColor rgb="FF4F81BD"/>
        <bgColor rgb="FF4F81BD"/>
      </patternFill>
    </fill>
    <fill>
      <patternFill patternType="solid">
        <fgColor rgb="FFFF0000"/>
        <bgColor rgb="FFFF0000"/>
      </patternFill>
    </fill>
    <fill>
      <patternFill patternType="solid">
        <fgColor rgb="FFB8CCE4"/>
        <bgColor rgb="FFB8CCE4"/>
      </patternFill>
    </fill>
    <fill>
      <patternFill patternType="solid">
        <fgColor rgb="FFC2D69B"/>
        <bgColor rgb="FFC2D69B"/>
      </patternFill>
    </fill>
  </fills>
  <borders count="1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88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8" fillId="0" borderId="7" xfId="0" applyFont="1" applyBorder="1"/>
    <xf numFmtId="0" fontId="11" fillId="3" borderId="11" xfId="0" applyFont="1" applyFill="1" applyBorder="1" applyAlignment="1">
      <alignment horizontal="center" vertical="center" wrapText="1"/>
    </xf>
    <xf numFmtId="0" fontId="12" fillId="4" borderId="7" xfId="0" applyFont="1" applyFill="1" applyBorder="1" applyAlignment="1">
      <alignment horizontal="center" vertical="center" wrapText="1"/>
    </xf>
    <xf numFmtId="0" fontId="13" fillId="3" borderId="12" xfId="0" applyFont="1" applyFill="1" applyBorder="1" applyAlignment="1">
      <alignment horizontal="left" vertical="center" wrapText="1"/>
    </xf>
    <xf numFmtId="0" fontId="14" fillId="0" borderId="0" xfId="0" applyFont="1"/>
    <xf numFmtId="0" fontId="12" fillId="4" borderId="7" xfId="0" applyFont="1" applyFill="1" applyBorder="1" applyAlignment="1">
      <alignment horizontal="center" wrapText="1"/>
    </xf>
    <xf numFmtId="0" fontId="13" fillId="5" borderId="8" xfId="0" applyFont="1" applyFill="1" applyBorder="1" applyAlignment="1">
      <alignment vertical="center" wrapText="1"/>
    </xf>
    <xf numFmtId="0" fontId="15" fillId="4" borderId="10" xfId="0" applyFont="1" applyFill="1" applyBorder="1" applyAlignment="1">
      <alignment horizontal="center" vertical="center" wrapText="1"/>
    </xf>
    <xf numFmtId="0" fontId="13" fillId="3" borderId="7" xfId="0" applyFont="1" applyFill="1" applyBorder="1" applyAlignment="1">
      <alignment vertical="center" wrapText="1"/>
    </xf>
    <xf numFmtId="0" fontId="13" fillId="3" borderId="7" xfId="0" applyFont="1" applyFill="1" applyBorder="1" applyAlignment="1">
      <alignment horizontal="left" vertical="center" wrapText="1"/>
    </xf>
    <xf numFmtId="0" fontId="13" fillId="3" borderId="7" xfId="0" applyFont="1" applyFill="1" applyBorder="1" applyAlignment="1">
      <alignment horizontal="left" vertical="center" wrapText="1"/>
    </xf>
    <xf numFmtId="0" fontId="12" fillId="4" borderId="7" xfId="0" applyFont="1" applyFill="1" applyBorder="1" applyAlignment="1">
      <alignment horizontal="center" vertical="center" wrapText="1"/>
    </xf>
    <xf numFmtId="0" fontId="13" fillId="5" borderId="7" xfId="0" applyFont="1" applyFill="1" applyBorder="1" applyAlignment="1">
      <alignment wrapText="1"/>
    </xf>
    <xf numFmtId="0" fontId="12" fillId="6" borderId="7" xfId="0" applyFont="1" applyFill="1" applyBorder="1" applyAlignment="1">
      <alignment horizontal="center" vertical="center" wrapText="1"/>
    </xf>
    <xf numFmtId="0" fontId="13" fillId="5" borderId="13" xfId="0" applyFont="1" applyFill="1" applyBorder="1" applyAlignment="1">
      <alignment wrapText="1"/>
    </xf>
    <xf numFmtId="0" fontId="12" fillId="6" borderId="7" xfId="0" applyFont="1" applyFill="1" applyBorder="1" applyAlignment="1">
      <alignment horizontal="center" wrapText="1"/>
    </xf>
    <xf numFmtId="0" fontId="15" fillId="6" borderId="10" xfId="0" applyFont="1" applyFill="1" applyBorder="1" applyAlignment="1">
      <alignment horizontal="center" vertical="center" wrapText="1"/>
    </xf>
    <xf numFmtId="0" fontId="13" fillId="3" borderId="13" xfId="0" applyFont="1" applyFill="1" applyBorder="1" applyAlignment="1">
      <alignment horizontal="left" vertical="center" wrapText="1"/>
    </xf>
    <xf numFmtId="0" fontId="12" fillId="6" borderId="7" xfId="0" applyFont="1" applyFill="1" applyBorder="1" applyAlignment="1">
      <alignment horizontal="center" vertical="center" wrapText="1"/>
    </xf>
    <xf numFmtId="0" fontId="8" fillId="0" borderId="0" xfId="0" applyFont="1" applyAlignment="1">
      <alignment vertical="top"/>
    </xf>
    <xf numFmtId="0" fontId="17" fillId="0" borderId="0" xfId="0" applyFont="1" applyAlignment="1">
      <alignment horizontal="left" vertical="top"/>
    </xf>
    <xf numFmtId="0" fontId="17" fillId="0" borderId="0" xfId="0" applyFont="1" applyAlignment="1">
      <alignment horizontal="left"/>
    </xf>
    <xf numFmtId="0" fontId="18" fillId="7" borderId="12" xfId="0" applyFont="1" applyFill="1" applyBorder="1" applyAlignment="1">
      <alignment horizontal="center" vertical="center"/>
    </xf>
    <xf numFmtId="0" fontId="18" fillId="7" borderId="14" xfId="0" applyFont="1" applyFill="1" applyBorder="1" applyAlignment="1">
      <alignment horizontal="center" vertical="center"/>
    </xf>
    <xf numFmtId="0" fontId="18" fillId="7" borderId="15" xfId="0" applyFont="1" applyFill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7" xfId="0" applyFont="1" applyBorder="1" applyAlignment="1">
      <alignment vertical="center" wrapText="1"/>
    </xf>
    <xf numFmtId="0" fontId="8" fillId="0" borderId="7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4" xfId="0" applyFont="1" applyBorder="1" applyAlignment="1">
      <alignment vertical="center" wrapText="1"/>
    </xf>
    <xf numFmtId="0" fontId="8" fillId="0" borderId="4" xfId="0" applyFont="1" applyBorder="1" applyAlignment="1">
      <alignment horizontal="center" vertical="center"/>
    </xf>
    <xf numFmtId="0" fontId="17" fillId="0" borderId="0" xfId="0" applyFont="1" applyAlignment="1">
      <alignment horizontal="left" vertical="center"/>
    </xf>
    <xf numFmtId="0" fontId="8" fillId="0" borderId="0" xfId="0" applyFont="1"/>
    <xf numFmtId="9" fontId="8" fillId="0" borderId="0" xfId="0" applyNumberFormat="1" applyFont="1"/>
    <xf numFmtId="0" fontId="17" fillId="0" borderId="10" xfId="0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0" xfId="0" applyFont="1" applyAlignment="1"/>
    <xf numFmtId="0" fontId="8" fillId="0" borderId="7" xfId="0" applyFont="1" applyBorder="1" applyAlignment="1">
      <alignment horizontal="center" vertical="center"/>
    </xf>
    <xf numFmtId="0" fontId="22" fillId="8" borderId="7" xfId="0" applyFont="1" applyFill="1" applyBorder="1" applyAlignment="1">
      <alignment horizontal="center" vertical="center"/>
    </xf>
    <xf numFmtId="0" fontId="8" fillId="0" borderId="7" xfId="0" applyFont="1" applyBorder="1" applyAlignment="1">
      <alignment horizontal="left" vertical="top" wrapText="1"/>
    </xf>
    <xf numFmtId="0" fontId="8" fillId="0" borderId="7" xfId="0" applyFont="1" applyBorder="1" applyAlignment="1">
      <alignment horizontal="left" vertical="top" wrapText="1"/>
    </xf>
    <xf numFmtId="0" fontId="8" fillId="0" borderId="7" xfId="0" applyFont="1" applyBorder="1" applyAlignment="1">
      <alignment horizontal="left" wrapText="1"/>
    </xf>
    <xf numFmtId="0" fontId="14" fillId="0" borderId="7" xfId="0" applyFont="1" applyBorder="1" applyAlignment="1">
      <alignment horizontal="left" vertical="top" wrapText="1"/>
    </xf>
    <xf numFmtId="0" fontId="14" fillId="0" borderId="7" xfId="0" applyFont="1" applyBorder="1" applyAlignment="1">
      <alignment horizontal="left" wrapText="1"/>
    </xf>
    <xf numFmtId="0" fontId="8" fillId="0" borderId="7" xfId="0" applyFont="1" applyBorder="1" applyAlignment="1">
      <alignment horizontal="center" vertical="top" wrapText="1"/>
    </xf>
    <xf numFmtId="0" fontId="8" fillId="0" borderId="7" xfId="0" applyFont="1" applyBorder="1" applyAlignment="1">
      <alignment vertical="top" wrapText="1"/>
    </xf>
    <xf numFmtId="0" fontId="8" fillId="0" borderId="7" xfId="0" applyFont="1" applyBorder="1" applyAlignment="1">
      <alignment wrapText="1"/>
    </xf>
    <xf numFmtId="0" fontId="8" fillId="0" borderId="7" xfId="0" applyFont="1" applyBorder="1" applyAlignment="1">
      <alignment horizontal="center"/>
    </xf>
    <xf numFmtId="0" fontId="14" fillId="0" borderId="7" xfId="0" applyFont="1" applyBorder="1" applyAlignment="1">
      <alignment horizontal="center" vertical="top" wrapText="1"/>
    </xf>
    <xf numFmtId="0" fontId="14" fillId="0" borderId="7" xfId="0" applyFont="1" applyBorder="1" applyAlignment="1">
      <alignment wrapText="1"/>
    </xf>
    <xf numFmtId="0" fontId="14" fillId="0" borderId="7" xfId="0" applyFont="1" applyBorder="1" applyAlignment="1">
      <alignment vertical="top" wrapText="1"/>
    </xf>
    <xf numFmtId="0" fontId="7" fillId="2" borderId="4" xfId="0" applyFont="1" applyFill="1" applyBorder="1" applyAlignment="1">
      <alignment horizontal="center" vertical="center" wrapText="1"/>
    </xf>
    <xf numFmtId="0" fontId="5" fillId="0" borderId="8" xfId="0" applyFont="1" applyBorder="1"/>
    <xf numFmtId="0" fontId="6" fillId="2" borderId="4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Font="1" applyAlignment="1"/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  <xf numFmtId="0" fontId="5" fillId="0" borderId="2" xfId="0" applyFont="1" applyBorder="1"/>
    <xf numFmtId="0" fontId="5" fillId="0" borderId="3" xfId="0" applyFont="1" applyBorder="1"/>
    <xf numFmtId="0" fontId="6" fillId="2" borderId="5" xfId="0" applyFont="1" applyFill="1" applyBorder="1" applyAlignment="1">
      <alignment horizontal="center" vertical="center" wrapText="1"/>
    </xf>
    <xf numFmtId="0" fontId="5" fillId="0" borderId="6" xfId="0" applyFont="1" applyBorder="1"/>
    <xf numFmtId="0" fontId="5" fillId="0" borderId="9" xfId="0" applyFont="1" applyBorder="1"/>
    <xf numFmtId="0" fontId="5" fillId="0" borderId="10" xfId="0" applyFont="1" applyBorder="1"/>
    <xf numFmtId="0" fontId="11" fillId="3" borderId="1" xfId="0" applyFont="1" applyFill="1" applyBorder="1" applyAlignment="1">
      <alignment horizontal="center" vertical="center" wrapText="1"/>
    </xf>
    <xf numFmtId="0" fontId="16" fillId="3" borderId="1" xfId="0" applyFont="1" applyFill="1" applyBorder="1" applyAlignment="1">
      <alignment horizontal="center" vertical="center" wrapText="1"/>
    </xf>
    <xf numFmtId="0" fontId="17" fillId="0" borderId="0" xfId="0" applyFont="1" applyAlignment="1">
      <alignment horizontal="left" vertical="center"/>
    </xf>
    <xf numFmtId="0" fontId="19" fillId="0" borderId="0" xfId="0" applyFont="1" applyAlignment="1">
      <alignment horizontal="center" vertical="center"/>
    </xf>
    <xf numFmtId="0" fontId="17" fillId="0" borderId="0" xfId="0" applyFont="1" applyAlignment="1">
      <alignment horizontal="center"/>
    </xf>
    <xf numFmtId="0" fontId="18" fillId="0" borderId="0" xfId="0" applyFont="1" applyAlignment="1">
      <alignment horizontal="left" vertical="top" wrapText="1"/>
    </xf>
    <xf numFmtId="15" fontId="18" fillId="0" borderId="0" xfId="0" applyNumberFormat="1" applyFont="1" applyAlignment="1">
      <alignment horizontal="left" wrapText="1"/>
    </xf>
    <xf numFmtId="0" fontId="18" fillId="0" borderId="0" xfId="0" applyFont="1" applyAlignment="1">
      <alignment horizontal="left" wrapText="1"/>
    </xf>
    <xf numFmtId="0" fontId="19" fillId="0" borderId="16" xfId="0" applyFont="1" applyBorder="1" applyAlignment="1">
      <alignment horizontal="center" vertical="center"/>
    </xf>
    <xf numFmtId="0" fontId="5" fillId="0" borderId="16" xfId="0" applyFont="1" applyBorder="1"/>
  </cellXfs>
  <cellStyles count="1">
    <cellStyle name="Normal" xfId="0" builtinId="0"/>
  </cellStyles>
  <dxfs count="200"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FF0000"/>
      </font>
      <fill>
        <patternFill patternType="none"/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FF0000"/>
      </font>
      <fill>
        <patternFill patternType="none"/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FF0000"/>
      </font>
      <fill>
        <patternFill patternType="none"/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FF0000"/>
      </font>
      <fill>
        <patternFill patternType="none"/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FF0000"/>
      </font>
      <fill>
        <patternFill patternType="none"/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FF0000"/>
      </font>
      <fill>
        <patternFill patternType="none"/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FF0000"/>
      </font>
      <fill>
        <patternFill patternType="none"/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FF0000"/>
      </font>
      <fill>
        <patternFill patternType="none"/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FF0000"/>
      </font>
      <fill>
        <patternFill patternType="none"/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FF0000"/>
      </font>
      <fill>
        <patternFill patternType="none"/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</border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FDE9D9"/>
          <bgColor rgb="FFFDE9D9"/>
        </patternFill>
      </fill>
    </dxf>
    <dxf>
      <fill>
        <patternFill patternType="solid">
          <fgColor theme="9"/>
          <bgColor theme="9"/>
        </patternFill>
      </fill>
    </dxf>
    <dxf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theme="6"/>
          <bgColor theme="6"/>
        </patternFill>
      </fill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</border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FDE9D9"/>
          <bgColor rgb="FFFDE9D9"/>
        </patternFill>
      </fill>
    </dxf>
    <dxf>
      <fill>
        <patternFill patternType="solid">
          <fgColor theme="9"/>
          <bgColor theme="9"/>
        </patternFill>
      </fill>
    </dxf>
    <dxf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theme="6"/>
          <bgColor theme="6"/>
        </patternFill>
      </fill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</border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FDE9D9"/>
          <bgColor rgb="FFFDE9D9"/>
        </patternFill>
      </fill>
    </dxf>
    <dxf>
      <fill>
        <patternFill patternType="solid">
          <fgColor theme="9"/>
          <bgColor theme="9"/>
        </patternFill>
      </fill>
    </dxf>
    <dxf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theme="6"/>
          <bgColor theme="6"/>
        </patternFill>
      </fill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</border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FDE9D9"/>
          <bgColor rgb="FFFDE9D9"/>
        </patternFill>
      </fill>
    </dxf>
    <dxf>
      <fill>
        <patternFill patternType="solid">
          <fgColor theme="9"/>
          <bgColor theme="9"/>
        </patternFill>
      </fill>
    </dxf>
    <dxf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theme="6"/>
          <bgColor theme="6"/>
        </patternFill>
      </fill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</border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FDE9D9"/>
          <bgColor rgb="FFFDE9D9"/>
        </patternFill>
      </fill>
    </dxf>
    <dxf>
      <fill>
        <patternFill patternType="solid">
          <fgColor theme="9"/>
          <bgColor theme="9"/>
        </patternFill>
      </fill>
    </dxf>
    <dxf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</border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FDE9D9"/>
          <bgColor rgb="FFFDE9D9"/>
        </patternFill>
      </fill>
    </dxf>
    <dxf>
      <fill>
        <patternFill patternType="solid">
          <fgColor theme="9"/>
          <bgColor theme="9"/>
        </patternFill>
      </fill>
    </dxf>
    <dxf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</border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FDE9D9"/>
          <bgColor rgb="FFFDE9D9"/>
        </patternFill>
      </fill>
    </dxf>
    <dxf>
      <fill>
        <patternFill patternType="solid">
          <fgColor theme="9"/>
          <bgColor theme="9"/>
        </patternFill>
      </fill>
    </dxf>
    <dxf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theme="6"/>
          <bgColor theme="6"/>
        </patternFill>
      </fill>
    </dxf>
    <dxf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theme="6"/>
          <bgColor theme="6"/>
        </patternFill>
      </fill>
    </dxf>
    <dxf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theme="6"/>
          <bgColor theme="6"/>
        </patternFill>
      </fill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</border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FDE9D9"/>
          <bgColor rgb="FFFDE9D9"/>
        </patternFill>
      </fill>
    </dxf>
    <dxf>
      <fill>
        <patternFill patternType="solid">
          <fgColor theme="9"/>
          <bgColor theme="9"/>
        </patternFill>
      </fill>
    </dxf>
    <dxf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theme="6"/>
          <bgColor theme="6"/>
        </patternFill>
      </fill>
    </dxf>
    <dxf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</border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FDE9D9"/>
          <bgColor rgb="FFFDE9D9"/>
        </patternFill>
      </fill>
    </dxf>
    <dxf>
      <fill>
        <patternFill patternType="solid">
          <fgColor theme="9"/>
          <bgColor theme="9"/>
        </patternFill>
      </fill>
    </dxf>
    <dxf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</border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FDE9D9"/>
          <bgColor rgb="FFFDE9D9"/>
        </patternFill>
      </fill>
    </dxf>
    <dxf>
      <fill>
        <patternFill patternType="solid">
          <fgColor theme="9"/>
          <bgColor theme="9"/>
        </patternFill>
      </fill>
    </dxf>
    <dxf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theme="6"/>
          <bgColor theme="6"/>
        </patternFill>
      </fill>
    </dxf>
    <dxf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theme="6"/>
          <bgColor theme="6"/>
        </patternFill>
      </fill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</dxfs>
  <tableStyles count="30">
    <tableStyle name="MODELO LISTA DE COMPROBACIÓN - -style" pivot="0" count="4" xr9:uid="{00000000-0011-0000-FFFF-FFFF00000000}">
      <tableStyleElement type="wholeTable" size="0" dxfId="196"/>
      <tableStyleElement type="headerRow" dxfId="199"/>
      <tableStyleElement type="firstRowStripe" dxfId="198"/>
      <tableStyleElement type="secondRowStripe" dxfId="197"/>
    </tableStyle>
    <tableStyle name="MODELO DE LISTA DE COMPROBACION-style" pivot="0" count="4" xr9:uid="{00000000-0011-0000-FFFF-FFFF01000000}">
      <tableStyleElement type="wholeTable" size="0" dxfId="192"/>
      <tableStyleElement type="headerRow" dxfId="195"/>
      <tableStyleElement type="firstRowStripe" dxfId="194"/>
      <tableStyleElement type="secondRowStripe" dxfId="193"/>
    </tableStyle>
    <tableStyle name="MODELO LISTA DE COMPROBACION - -style" pivot="0" count="4" xr9:uid="{00000000-0011-0000-FFFF-FFFF02000000}">
      <tableStyleElement type="wholeTable" size="0" dxfId="188"/>
      <tableStyleElement type="headerRow" dxfId="191"/>
      <tableStyleElement type="firstRowStripe" dxfId="190"/>
      <tableStyleElement type="secondRowStripe" dxfId="189"/>
    </tableStyle>
    <tableStyle name="MODELO DE LISTA DE COMPROBACION-style 2" pivot="0" count="4" xr9:uid="{00000000-0011-0000-FFFF-FFFF03000000}">
      <tableStyleElement type="wholeTable" size="0" dxfId="184"/>
      <tableStyleElement type="headerRow" dxfId="187"/>
      <tableStyleElement type="firstRowStripe" dxfId="186"/>
      <tableStyleElement type="secondRowStripe" dxfId="185"/>
    </tableStyle>
    <tableStyle name="MODELO LISTA DE COMPROBACIÓN - -style 2" pivot="0" count="4" xr9:uid="{00000000-0011-0000-FFFF-FFFF04000000}">
      <tableStyleElement type="wholeTable" size="0" dxfId="180"/>
      <tableStyleElement type="headerRow" dxfId="183"/>
      <tableStyleElement type="firstRowStripe" dxfId="182"/>
      <tableStyleElement type="secondRowStripe" dxfId="181"/>
    </tableStyle>
    <tableStyle name="MODELO DE LISTA DE COMPROBACION-style 3" pivot="0" count="4" xr9:uid="{00000000-0011-0000-FFFF-FFFF05000000}">
      <tableStyleElement type="wholeTable" size="0" dxfId="176"/>
      <tableStyleElement type="headerRow" dxfId="179"/>
      <tableStyleElement type="firstRowStripe" dxfId="178"/>
      <tableStyleElement type="secondRowStripe" dxfId="177"/>
    </tableStyle>
    <tableStyle name="MODELO LISTA DE COMPROBACIÓN - -style 3" pivot="0" count="4" xr9:uid="{00000000-0011-0000-FFFF-FFFF06000000}">
      <tableStyleElement type="wholeTable" size="0" dxfId="172"/>
      <tableStyleElement type="headerRow" dxfId="175"/>
      <tableStyleElement type="firstRowStripe" dxfId="174"/>
      <tableStyleElement type="secondRowStripe" dxfId="173"/>
    </tableStyle>
    <tableStyle name="MODELO LISTA DE COMPROBACION - -style 2" pivot="0" count="4" xr9:uid="{00000000-0011-0000-FFFF-FFFF07000000}">
      <tableStyleElement type="wholeTable" size="0" dxfId="168"/>
      <tableStyleElement type="headerRow" dxfId="171"/>
      <tableStyleElement type="firstRowStripe" dxfId="170"/>
      <tableStyleElement type="secondRowStripe" dxfId="169"/>
    </tableStyle>
    <tableStyle name="MODELO LISTA DE COMPROBACION - -style 3" pivot="0" count="4" xr9:uid="{00000000-0011-0000-FFFF-FFFF08000000}">
      <tableStyleElement type="wholeTable" size="0" dxfId="164"/>
      <tableStyleElement type="headerRow" dxfId="167"/>
      <tableStyleElement type="firstRowStripe" dxfId="166"/>
      <tableStyleElement type="secondRowStripe" dxfId="165"/>
    </tableStyle>
    <tableStyle name="Hoja 1-style" pivot="0" count="4" xr9:uid="{00000000-0011-0000-FFFF-FFFF09000000}">
      <tableStyleElement type="wholeTable" size="0" dxfId="160"/>
      <tableStyleElement type="headerRow" dxfId="163"/>
      <tableStyleElement type="firstRowStripe" dxfId="162"/>
      <tableStyleElement type="secondRowStripe" dxfId="161"/>
    </tableStyle>
    <tableStyle name="Hoja 2-style" pivot="0" count="4" xr9:uid="{00000000-0011-0000-FFFF-FFFF0A000000}">
      <tableStyleElement type="wholeTable" size="0" dxfId="156"/>
      <tableStyleElement type="headerRow" dxfId="159"/>
      <tableStyleElement type="firstRowStripe" dxfId="158"/>
      <tableStyleElement type="secondRowStripe" dxfId="157"/>
    </tableStyle>
    <tableStyle name="Hoja 3-style" pivot="0" count="4" xr9:uid="{00000000-0011-0000-FFFF-FFFF0B000000}">
      <tableStyleElement type="wholeTable" size="0" dxfId="152"/>
      <tableStyleElement type="headerRow" dxfId="155"/>
      <tableStyleElement type="firstRowStripe" dxfId="154"/>
      <tableStyleElement type="secondRowStripe" dxfId="153"/>
    </tableStyle>
    <tableStyle name="Hoja 1-style 2" pivot="0" count="4" xr9:uid="{00000000-0011-0000-FFFF-FFFF0C000000}">
      <tableStyleElement type="wholeTable" size="0" dxfId="148"/>
      <tableStyleElement type="headerRow" dxfId="151"/>
      <tableStyleElement type="firstRowStripe" dxfId="150"/>
      <tableStyleElement type="secondRowStripe" dxfId="149"/>
    </tableStyle>
    <tableStyle name="Hoja 2-style 2" pivot="0" count="4" xr9:uid="{00000000-0011-0000-FFFF-FFFF0D000000}">
      <tableStyleElement type="wholeTable" size="0" dxfId="144"/>
      <tableStyleElement type="headerRow" dxfId="147"/>
      <tableStyleElement type="firstRowStripe" dxfId="146"/>
      <tableStyleElement type="secondRowStripe" dxfId="145"/>
    </tableStyle>
    <tableStyle name="Hoja 3-style 2" pivot="0" count="4" xr9:uid="{00000000-0011-0000-FFFF-FFFF0E000000}">
      <tableStyleElement type="wholeTable" size="0" dxfId="140"/>
      <tableStyleElement type="headerRow" dxfId="143"/>
      <tableStyleElement type="firstRowStripe" dxfId="142"/>
      <tableStyleElement type="secondRowStripe" dxfId="141"/>
    </tableStyle>
    <tableStyle name="Hoja 1-style 3" pivot="0" count="4" xr9:uid="{00000000-0011-0000-FFFF-FFFF0F000000}">
      <tableStyleElement type="wholeTable" size="0" dxfId="136"/>
      <tableStyleElement type="headerRow" dxfId="139"/>
      <tableStyleElement type="firstRowStripe" dxfId="138"/>
      <tableStyleElement type="secondRowStripe" dxfId="137"/>
    </tableStyle>
    <tableStyle name="Hoja 2-style 3" pivot="0" count="4" xr9:uid="{00000000-0011-0000-FFFF-FFFF10000000}">
      <tableStyleElement type="wholeTable" size="0" dxfId="132"/>
      <tableStyleElement type="headerRow" dxfId="135"/>
      <tableStyleElement type="firstRowStripe" dxfId="134"/>
      <tableStyleElement type="secondRowStripe" dxfId="133"/>
    </tableStyle>
    <tableStyle name="Hoja 3-style 3" pivot="0" count="4" xr9:uid="{00000000-0011-0000-FFFF-FFFF11000000}">
      <tableStyleElement type="wholeTable" size="0" dxfId="128"/>
      <tableStyleElement type="headerRow" dxfId="131"/>
      <tableStyleElement type="firstRowStripe" dxfId="130"/>
      <tableStyleElement type="secondRowStripe" dxfId="129"/>
    </tableStyle>
    <tableStyle name="Hoja 4-style" pivot="0" count="4" xr9:uid="{00000000-0011-0000-FFFF-FFFF12000000}">
      <tableStyleElement type="wholeTable" size="0" dxfId="124"/>
      <tableStyleElement type="headerRow" dxfId="127"/>
      <tableStyleElement type="firstRowStripe" dxfId="126"/>
      <tableStyleElement type="secondRowStripe" dxfId="125"/>
    </tableStyle>
    <tableStyle name="Hoja 4-style 2" pivot="0" count="4" xr9:uid="{00000000-0011-0000-FFFF-FFFF13000000}">
      <tableStyleElement type="wholeTable" size="0" dxfId="120"/>
      <tableStyleElement type="headerRow" dxfId="123"/>
      <tableStyleElement type="firstRowStripe" dxfId="122"/>
      <tableStyleElement type="secondRowStripe" dxfId="121"/>
    </tableStyle>
    <tableStyle name="Hoja 4-style 3" pivot="0" count="4" xr9:uid="{00000000-0011-0000-FFFF-FFFF14000000}">
      <tableStyleElement type="wholeTable" size="0" dxfId="116"/>
      <tableStyleElement type="headerRow" dxfId="119"/>
      <tableStyleElement type="firstRowStripe" dxfId="118"/>
      <tableStyleElement type="secondRowStripe" dxfId="117"/>
    </tableStyle>
    <tableStyle name="Hoja 5-style" pivot="0" count="4" xr9:uid="{00000000-0011-0000-FFFF-FFFF15000000}">
      <tableStyleElement type="wholeTable" size="0" dxfId="112"/>
      <tableStyleElement type="headerRow" dxfId="115"/>
      <tableStyleElement type="firstRowStripe" dxfId="114"/>
      <tableStyleElement type="secondRowStripe" dxfId="113"/>
    </tableStyle>
    <tableStyle name="Hoja 5-style 2" pivot="0" count="4" xr9:uid="{00000000-0011-0000-FFFF-FFFF16000000}">
      <tableStyleElement type="wholeTable" size="0" dxfId="108"/>
      <tableStyleElement type="headerRow" dxfId="111"/>
      <tableStyleElement type="firstRowStripe" dxfId="110"/>
      <tableStyleElement type="secondRowStripe" dxfId="109"/>
    </tableStyle>
    <tableStyle name="Hoja 5-style 3" pivot="0" count="4" xr9:uid="{00000000-0011-0000-FFFF-FFFF17000000}">
      <tableStyleElement type="wholeTable" size="0" dxfId="104"/>
      <tableStyleElement type="headerRow" dxfId="107"/>
      <tableStyleElement type="firstRowStripe" dxfId="106"/>
      <tableStyleElement type="secondRowStripe" dxfId="105"/>
    </tableStyle>
    <tableStyle name="Hoja 6-style" pivot="0" count="4" xr9:uid="{00000000-0011-0000-FFFF-FFFF18000000}">
      <tableStyleElement type="wholeTable" size="0" dxfId="100"/>
      <tableStyleElement type="headerRow" dxfId="103"/>
      <tableStyleElement type="firstRowStripe" dxfId="102"/>
      <tableStyleElement type="secondRowStripe" dxfId="101"/>
    </tableStyle>
    <tableStyle name="Hoja 6-style 2" pivot="0" count="4" xr9:uid="{00000000-0011-0000-FFFF-FFFF19000000}">
      <tableStyleElement type="wholeTable" size="0" dxfId="96"/>
      <tableStyleElement type="headerRow" dxfId="99"/>
      <tableStyleElement type="firstRowStripe" dxfId="98"/>
      <tableStyleElement type="secondRowStripe" dxfId="97"/>
    </tableStyle>
    <tableStyle name="Hoja 6-style 3" pivot="0" count="4" xr9:uid="{00000000-0011-0000-FFFF-FFFF1A000000}">
      <tableStyleElement type="wholeTable" size="0" dxfId="92"/>
      <tableStyleElement type="headerRow" dxfId="95"/>
      <tableStyleElement type="firstRowStripe" dxfId="94"/>
      <tableStyleElement type="secondRowStripe" dxfId="93"/>
    </tableStyle>
    <tableStyle name="Hoja 7-style" pivot="0" count="4" xr9:uid="{00000000-0011-0000-FFFF-FFFF1B000000}">
      <tableStyleElement type="wholeTable" size="0" dxfId="88"/>
      <tableStyleElement type="headerRow" dxfId="91"/>
      <tableStyleElement type="firstRowStripe" dxfId="90"/>
      <tableStyleElement type="secondRowStripe" dxfId="89"/>
    </tableStyle>
    <tableStyle name="Hoja 7-style 2" pivot="0" count="4" xr9:uid="{00000000-0011-0000-FFFF-FFFF1C000000}">
      <tableStyleElement type="wholeTable" size="0" dxfId="84"/>
      <tableStyleElement type="headerRow" dxfId="87"/>
      <tableStyleElement type="firstRowStripe" dxfId="86"/>
      <tableStyleElement type="secondRowStripe" dxfId="85"/>
    </tableStyle>
    <tableStyle name="Hoja 7-style 3" pivot="0" count="4" xr9:uid="{00000000-0011-0000-FFFF-FFFF1D000000}">
      <tableStyleElement type="wholeTable" size="0" dxfId="80"/>
      <tableStyleElement type="headerRow" dxfId="83"/>
      <tableStyleElement type="firstRowStripe" dxfId="82"/>
      <tableStyleElement type="secondRowStripe" dxfId="8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3"/></Relationships>
</file>

<file path=xl/_rels/comments2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comments3.xml.rels><?xml version="1.0" encoding="UTF-8" standalone="yes"?>
<Relationships xmlns="http://schemas.openxmlformats.org/package/2006/relationships"><Relationship Id="rId1" Type="http://customschemas.google.com/relationships/workbookmetadata" Target="commentsmeta2"/></Relationships>
</file>

<file path=xl/_rels/comments4.xml.rels><?xml version="1.0" encoding="UTF-8" standalone="yes"?>
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customschemas.google.com/relationships/workbookmetadata" Target="metadata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7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lang="es-EC" b="1" i="0">
                <a:solidFill>
                  <a:srgbClr val="757575"/>
                </a:solidFill>
                <a:latin typeface="+mn-lt"/>
              </a:rPr>
              <a:t>CRITERIO DE CALIDAD </a:t>
            </a:r>
          </a:p>
        </c:rich>
      </c:tx>
      <c:layout>
        <c:manualLayout>
          <c:xMode val="edge"/>
          <c:yMode val="edge"/>
          <c:x val="0.30949300087489068"/>
          <c:y val="6.0185185185185182E-2"/>
        </c:manualLayout>
      </c:layout>
      <c:overlay val="0"/>
    </c:title>
    <c:autoTitleDeleted val="0"/>
    <c:view3D>
      <c:rotX val="50"/>
      <c:rotY val="0"/>
      <c:rAngAx val="1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rgbClr val="4F81BD"/>
              </a:solidFill>
            </c:spPr>
            <c:extLst>
              <c:ext xmlns:c16="http://schemas.microsoft.com/office/drawing/2014/chart" uri="{C3380CC4-5D6E-409C-BE32-E72D297353CC}">
                <c16:uniqueId val="{00000001-87F8-48D3-946A-F65AB79E2A42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03-87F8-48D3-946A-F65AB79E2A42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</c:spPr>
            <c:extLst>
              <c:ext xmlns:c16="http://schemas.microsoft.com/office/drawing/2014/chart" uri="{C3380CC4-5D6E-409C-BE32-E72D297353CC}">
                <c16:uniqueId val="{00000005-87F8-48D3-946A-F65AB79E2A42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'MODELO LISTA DE COMPROBACION - '!$B$41:$B$43</c:f>
              <c:strCache>
                <c:ptCount val="3"/>
                <c:pt idx="0">
                  <c:v>CONTENIDO </c:v>
                </c:pt>
                <c:pt idx="1">
                  <c:v>DOCUMENTACIÓN</c:v>
                </c:pt>
                <c:pt idx="2">
                  <c:v>NIVEL DE ACUERDO</c:v>
                </c:pt>
              </c:strCache>
            </c:strRef>
          </c:cat>
          <c:val>
            <c:numRef>
              <c:f>'MODELO LISTA DE COMPROBACION - '!$C$41:$C$43</c:f>
              <c:numCache>
                <c:formatCode>0%</c:formatCode>
                <c:ptCount val="3"/>
                <c:pt idx="0">
                  <c:v>0.77777777777777779</c:v>
                </c:pt>
                <c:pt idx="1">
                  <c:v>0.8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7F8-48D3-946A-F65AB79E2A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endParaRPr lang="es-EC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lang="es-EC" b="1" i="0">
                <a:solidFill>
                  <a:srgbClr val="757575"/>
                </a:solidFill>
                <a:latin typeface="+mn-lt"/>
              </a:rPr>
              <a:t>CRITERIO DE CALIDAD </a:t>
            </a:r>
          </a:p>
        </c:rich>
      </c:tx>
      <c:layout>
        <c:manualLayout>
          <c:xMode val="edge"/>
          <c:yMode val="edge"/>
          <c:x val="0.30949300087489068"/>
          <c:y val="6.0185185185185182E-2"/>
        </c:manualLayout>
      </c:layout>
      <c:overlay val="0"/>
    </c:title>
    <c:autoTitleDeleted val="0"/>
    <c:view3D>
      <c:rotX val="50"/>
      <c:rotY val="0"/>
      <c:rAngAx val="1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rgbClr val="4F81BD"/>
              </a:solidFill>
            </c:spPr>
            <c:extLst>
              <c:ext xmlns:c16="http://schemas.microsoft.com/office/drawing/2014/chart" uri="{C3380CC4-5D6E-409C-BE32-E72D297353CC}">
                <c16:uniqueId val="{00000001-30A2-4252-A908-8BA77522643C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03-30A2-4252-A908-8BA77522643C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</c:spPr>
            <c:extLst>
              <c:ext xmlns:c16="http://schemas.microsoft.com/office/drawing/2014/chart" uri="{C3380CC4-5D6E-409C-BE32-E72D297353CC}">
                <c16:uniqueId val="{00000005-30A2-4252-A908-8BA77522643C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'MODELO LISTA DE COMPROBACIÓN - '!$B$41:$B$43</c:f>
              <c:strCache>
                <c:ptCount val="3"/>
                <c:pt idx="0">
                  <c:v>CONTENIDO </c:v>
                </c:pt>
                <c:pt idx="1">
                  <c:v>DOCUMENTACIÓN</c:v>
                </c:pt>
                <c:pt idx="2">
                  <c:v>NIVEL DE ACUERDO</c:v>
                </c:pt>
              </c:strCache>
            </c:strRef>
          </c:cat>
          <c:val>
            <c:numRef>
              <c:f>'MODELO LISTA DE COMPROBACIÓN - '!$C$41:$C$43</c:f>
              <c:numCache>
                <c:formatCode>General</c:formatCode>
                <c:ptCount val="3"/>
                <c:pt idx="0">
                  <c:v>78</c:v>
                </c:pt>
                <c:pt idx="1">
                  <c:v>80</c:v>
                </c:pt>
                <c:pt idx="2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0A2-4252-A908-8BA7752264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endParaRPr lang="es-EC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lang="es-EC" b="1" i="0">
                <a:solidFill>
                  <a:srgbClr val="757575"/>
                </a:solidFill>
                <a:latin typeface="+mn-lt"/>
              </a:rPr>
              <a:t>CRITERIO DE CALIDAD </a:t>
            </a:r>
          </a:p>
        </c:rich>
      </c:tx>
      <c:layout>
        <c:manualLayout>
          <c:xMode val="edge"/>
          <c:yMode val="edge"/>
          <c:x val="0.30949300087489068"/>
          <c:y val="6.0185185185185182E-2"/>
        </c:manualLayout>
      </c:layout>
      <c:overlay val="0"/>
    </c:title>
    <c:autoTitleDeleted val="0"/>
    <c:view3D>
      <c:rotX val="50"/>
      <c:rotY val="0"/>
      <c:rAngAx val="1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rgbClr val="4F81BD"/>
              </a:solidFill>
            </c:spPr>
            <c:extLst>
              <c:ext xmlns:c16="http://schemas.microsoft.com/office/drawing/2014/chart" uri="{C3380CC4-5D6E-409C-BE32-E72D297353CC}">
                <c16:uniqueId val="{00000001-B1A8-4A31-AE54-E15D96EC8599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03-B1A8-4A31-AE54-E15D96EC8599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</c:spPr>
            <c:extLst>
              <c:ext xmlns:c16="http://schemas.microsoft.com/office/drawing/2014/chart" uri="{C3380CC4-5D6E-409C-BE32-E72D297353CC}">
                <c16:uniqueId val="{00000005-B1A8-4A31-AE54-E15D96EC8599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'MODELO DE LISTA DE COMPROBACION'!$B$41:$B$43</c:f>
              <c:strCache>
                <c:ptCount val="3"/>
                <c:pt idx="0">
                  <c:v>CONTENIDO </c:v>
                </c:pt>
                <c:pt idx="1">
                  <c:v>DOCUMENTACIÓN</c:v>
                </c:pt>
                <c:pt idx="2">
                  <c:v>NIVEL DE ACUERDO</c:v>
                </c:pt>
              </c:strCache>
            </c:strRef>
          </c:cat>
          <c:val>
            <c:numRef>
              <c:f>'MODELO DE LISTA DE COMPROBACION'!$C$41:$C$43</c:f>
              <c:numCache>
                <c:formatCode>General</c:formatCode>
                <c:ptCount val="3"/>
                <c:pt idx="0">
                  <c:v>78</c:v>
                </c:pt>
                <c:pt idx="1">
                  <c:v>80</c:v>
                </c:pt>
                <c:pt idx="2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1A8-4A31-AE54-E15D96EC85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endParaRPr lang="es-EC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lang="es-EC" b="1" i="0">
                <a:solidFill>
                  <a:srgbClr val="757575"/>
                </a:solidFill>
                <a:latin typeface="+mn-lt"/>
              </a:rPr>
              <a:t>CRITERIO DE CALIDAD </a:t>
            </a:r>
          </a:p>
        </c:rich>
      </c:tx>
      <c:layout>
        <c:manualLayout>
          <c:xMode val="edge"/>
          <c:yMode val="edge"/>
          <c:x val="0.30949300087489068"/>
          <c:y val="6.0185185185185182E-2"/>
        </c:manualLayout>
      </c:layout>
      <c:overlay val="0"/>
    </c:title>
    <c:autoTitleDeleted val="0"/>
    <c:view3D>
      <c:rotX val="50"/>
      <c:rotY val="0"/>
      <c:rAngAx val="1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rgbClr val="4F81BD"/>
              </a:solidFill>
            </c:spPr>
            <c:extLst>
              <c:ext xmlns:c16="http://schemas.microsoft.com/office/drawing/2014/chart" uri="{C3380CC4-5D6E-409C-BE32-E72D297353CC}">
                <c16:uniqueId val="{00000001-88C4-4FEB-9BEA-103339658E98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03-88C4-4FEB-9BEA-103339658E98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</c:spPr>
            <c:extLst>
              <c:ext xmlns:c16="http://schemas.microsoft.com/office/drawing/2014/chart" uri="{C3380CC4-5D6E-409C-BE32-E72D297353CC}">
                <c16:uniqueId val="{00000005-88C4-4FEB-9BEA-103339658E98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'Hoja 1'!$B$41:$B$43</c:f>
              <c:strCache>
                <c:ptCount val="3"/>
                <c:pt idx="0">
                  <c:v>CONTENIDO </c:v>
                </c:pt>
                <c:pt idx="1">
                  <c:v>DOCUMENTACIÓN</c:v>
                </c:pt>
                <c:pt idx="2">
                  <c:v>NIVEL DE ACUERDO</c:v>
                </c:pt>
              </c:strCache>
            </c:strRef>
          </c:cat>
          <c:val>
            <c:numRef>
              <c:f>'Hoja 1'!$C$41:$C$43</c:f>
              <c:numCache>
                <c:formatCode>0%</c:formatCode>
                <c:ptCount val="3"/>
                <c:pt idx="0">
                  <c:v>0.77777777777777779</c:v>
                </c:pt>
                <c:pt idx="1">
                  <c:v>0.8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8C4-4FEB-9BEA-103339658E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endParaRPr lang="es-EC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lang="es-EC" b="1" i="0">
                <a:solidFill>
                  <a:srgbClr val="757575"/>
                </a:solidFill>
                <a:latin typeface="+mn-lt"/>
              </a:rPr>
              <a:t>CRITERIO DE CALIDAD </a:t>
            </a:r>
          </a:p>
        </c:rich>
      </c:tx>
      <c:layout>
        <c:manualLayout>
          <c:xMode val="edge"/>
          <c:yMode val="edge"/>
          <c:x val="0.30949300087489068"/>
          <c:y val="6.0185185185185182E-2"/>
        </c:manualLayout>
      </c:layout>
      <c:overlay val="0"/>
    </c:title>
    <c:autoTitleDeleted val="0"/>
    <c:view3D>
      <c:rotX val="50"/>
      <c:rotY val="0"/>
      <c:rAngAx val="1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rgbClr val="4F81BD"/>
              </a:solidFill>
            </c:spPr>
            <c:extLst>
              <c:ext xmlns:c16="http://schemas.microsoft.com/office/drawing/2014/chart" uri="{C3380CC4-5D6E-409C-BE32-E72D297353CC}">
                <c16:uniqueId val="{00000001-A250-40E1-A911-C5B2BCB618CB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03-A250-40E1-A911-C5B2BCB618CB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</c:spPr>
            <c:extLst>
              <c:ext xmlns:c16="http://schemas.microsoft.com/office/drawing/2014/chart" uri="{C3380CC4-5D6E-409C-BE32-E72D297353CC}">
                <c16:uniqueId val="{00000005-A250-40E1-A911-C5B2BCB618CB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'Hoja 2'!$B$41:$B$43</c:f>
              <c:strCache>
                <c:ptCount val="3"/>
                <c:pt idx="0">
                  <c:v>CONTENIDO </c:v>
                </c:pt>
                <c:pt idx="1">
                  <c:v>DOCUMENTACIÓN</c:v>
                </c:pt>
                <c:pt idx="2">
                  <c:v>NIVEL DE ACUERDO</c:v>
                </c:pt>
              </c:strCache>
            </c:strRef>
          </c:cat>
          <c:val>
            <c:numRef>
              <c:f>'Hoja 2'!$C$41:$C$43</c:f>
              <c:numCache>
                <c:formatCode>General</c:formatCode>
                <c:ptCount val="3"/>
                <c:pt idx="0">
                  <c:v>78</c:v>
                </c:pt>
                <c:pt idx="1">
                  <c:v>80</c:v>
                </c:pt>
                <c:pt idx="2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250-40E1-A911-C5B2BCB618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endParaRPr lang="es-EC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lang="es-EC" b="1" i="0">
                <a:solidFill>
                  <a:srgbClr val="757575"/>
                </a:solidFill>
                <a:latin typeface="+mn-lt"/>
              </a:rPr>
              <a:t>CRITERIO DE CALIDAD </a:t>
            </a:r>
          </a:p>
        </c:rich>
      </c:tx>
      <c:layout>
        <c:manualLayout>
          <c:xMode val="edge"/>
          <c:yMode val="edge"/>
          <c:x val="0.30949300087489068"/>
          <c:y val="6.0185185185185182E-2"/>
        </c:manualLayout>
      </c:layout>
      <c:overlay val="0"/>
    </c:title>
    <c:autoTitleDeleted val="0"/>
    <c:view3D>
      <c:rotX val="50"/>
      <c:rotY val="0"/>
      <c:rAngAx val="1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rgbClr val="4F81BD"/>
              </a:solidFill>
            </c:spPr>
            <c:extLst>
              <c:ext xmlns:c16="http://schemas.microsoft.com/office/drawing/2014/chart" uri="{C3380CC4-5D6E-409C-BE32-E72D297353CC}">
                <c16:uniqueId val="{00000001-C3EE-49BE-AC2F-F574B2E4026B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03-C3EE-49BE-AC2F-F574B2E4026B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</c:spPr>
            <c:extLst>
              <c:ext xmlns:c16="http://schemas.microsoft.com/office/drawing/2014/chart" uri="{C3380CC4-5D6E-409C-BE32-E72D297353CC}">
                <c16:uniqueId val="{00000005-C3EE-49BE-AC2F-F574B2E4026B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'Hoja 3'!$B$41:$B$43</c:f>
              <c:strCache>
                <c:ptCount val="3"/>
                <c:pt idx="0">
                  <c:v>CONTENIDO </c:v>
                </c:pt>
                <c:pt idx="1">
                  <c:v>DOCUMENTACIÓN</c:v>
                </c:pt>
                <c:pt idx="2">
                  <c:v>NIVEL DE ACUERDO</c:v>
                </c:pt>
              </c:strCache>
            </c:strRef>
          </c:cat>
          <c:val>
            <c:numRef>
              <c:f>'Hoja 3'!$C$41:$C$43</c:f>
              <c:numCache>
                <c:formatCode>General</c:formatCode>
                <c:ptCount val="3"/>
                <c:pt idx="0">
                  <c:v>78</c:v>
                </c:pt>
                <c:pt idx="1">
                  <c:v>80</c:v>
                </c:pt>
                <c:pt idx="2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3EE-49BE-AC2F-F574B2E402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endParaRPr lang="es-EC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lang="es-EC" b="1" i="0">
                <a:solidFill>
                  <a:srgbClr val="757575"/>
                </a:solidFill>
                <a:latin typeface="+mn-lt"/>
              </a:rPr>
              <a:t>CRITERIO DE CALIDAD </a:t>
            </a:r>
          </a:p>
        </c:rich>
      </c:tx>
      <c:layout>
        <c:manualLayout>
          <c:xMode val="edge"/>
          <c:yMode val="edge"/>
          <c:x val="0.30949300087489068"/>
          <c:y val="6.0185185185185182E-2"/>
        </c:manualLayout>
      </c:layout>
      <c:overlay val="0"/>
    </c:title>
    <c:autoTitleDeleted val="0"/>
    <c:view3D>
      <c:rotX val="50"/>
      <c:rotY val="0"/>
      <c:rAngAx val="1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rgbClr val="4F81BD"/>
              </a:solidFill>
            </c:spPr>
            <c:extLst>
              <c:ext xmlns:c16="http://schemas.microsoft.com/office/drawing/2014/chart" uri="{C3380CC4-5D6E-409C-BE32-E72D297353CC}">
                <c16:uniqueId val="{00000001-1081-4F24-88C4-944DDC124498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03-1081-4F24-88C4-944DDC124498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</c:spPr>
            <c:extLst>
              <c:ext xmlns:c16="http://schemas.microsoft.com/office/drawing/2014/chart" uri="{C3380CC4-5D6E-409C-BE32-E72D297353CC}">
                <c16:uniqueId val="{00000005-1081-4F24-88C4-944DDC124498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'Hoja 4'!$B$41:$B$43</c:f>
              <c:strCache>
                <c:ptCount val="3"/>
                <c:pt idx="0">
                  <c:v>CONTENIDO </c:v>
                </c:pt>
                <c:pt idx="1">
                  <c:v>DOCUMENTACIÓN</c:v>
                </c:pt>
                <c:pt idx="2">
                  <c:v>NIVEL DE ACUERDO</c:v>
                </c:pt>
              </c:strCache>
            </c:strRef>
          </c:cat>
          <c:val>
            <c:numRef>
              <c:f>'Hoja 4'!$C$41:$C$43</c:f>
              <c:numCache>
                <c:formatCode>0%</c:formatCode>
                <c:ptCount val="3"/>
                <c:pt idx="0">
                  <c:v>0.77777777777777779</c:v>
                </c:pt>
                <c:pt idx="1">
                  <c:v>0.8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081-4F24-88C4-944DDC1244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endParaRPr lang="es-EC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lang="es-EC" b="1" i="0">
                <a:solidFill>
                  <a:srgbClr val="757575"/>
                </a:solidFill>
                <a:latin typeface="+mn-lt"/>
              </a:rPr>
              <a:t>CRITERIO DE CALIDAD </a:t>
            </a:r>
          </a:p>
        </c:rich>
      </c:tx>
      <c:layout>
        <c:manualLayout>
          <c:xMode val="edge"/>
          <c:yMode val="edge"/>
          <c:x val="0.30949300087489068"/>
          <c:y val="6.0185185185185182E-2"/>
        </c:manualLayout>
      </c:layout>
      <c:overlay val="0"/>
    </c:title>
    <c:autoTitleDeleted val="0"/>
    <c:view3D>
      <c:rotX val="50"/>
      <c:rotY val="0"/>
      <c:rAngAx val="1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rgbClr val="4F81BD"/>
              </a:solidFill>
            </c:spPr>
            <c:extLst>
              <c:ext xmlns:c16="http://schemas.microsoft.com/office/drawing/2014/chart" uri="{C3380CC4-5D6E-409C-BE32-E72D297353CC}">
                <c16:uniqueId val="{00000001-256F-4511-9919-BA4582AB3285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03-256F-4511-9919-BA4582AB3285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</c:spPr>
            <c:extLst>
              <c:ext xmlns:c16="http://schemas.microsoft.com/office/drawing/2014/chart" uri="{C3380CC4-5D6E-409C-BE32-E72D297353CC}">
                <c16:uniqueId val="{00000005-256F-4511-9919-BA4582AB3285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'Hoja 5'!$B$41:$B$43</c:f>
              <c:strCache>
                <c:ptCount val="3"/>
                <c:pt idx="0">
                  <c:v>CONTENIDO </c:v>
                </c:pt>
                <c:pt idx="1">
                  <c:v>DOCUMENTACIÓN</c:v>
                </c:pt>
                <c:pt idx="2">
                  <c:v>NIVEL DE ACUERDO</c:v>
                </c:pt>
              </c:strCache>
            </c:strRef>
          </c:cat>
          <c:val>
            <c:numRef>
              <c:f>'Hoja 5'!$C$41:$C$43</c:f>
              <c:numCache>
                <c:formatCode>General</c:formatCode>
                <c:ptCount val="3"/>
                <c:pt idx="0">
                  <c:v>78</c:v>
                </c:pt>
                <c:pt idx="1">
                  <c:v>80</c:v>
                </c:pt>
                <c:pt idx="2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56F-4511-9919-BA4582AB32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endParaRPr lang="es-EC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lang="es-EC" b="1" i="0">
                <a:solidFill>
                  <a:srgbClr val="757575"/>
                </a:solidFill>
                <a:latin typeface="+mn-lt"/>
              </a:rPr>
              <a:t>CRITERIO DE CALIDAD </a:t>
            </a:r>
          </a:p>
        </c:rich>
      </c:tx>
      <c:layout>
        <c:manualLayout>
          <c:xMode val="edge"/>
          <c:yMode val="edge"/>
          <c:x val="0.30949300087489068"/>
          <c:y val="6.0185185185185182E-2"/>
        </c:manualLayout>
      </c:layout>
      <c:overlay val="0"/>
    </c:title>
    <c:autoTitleDeleted val="0"/>
    <c:view3D>
      <c:rotX val="50"/>
      <c:rotY val="0"/>
      <c:rAngAx val="1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rgbClr val="4F81BD"/>
              </a:solidFill>
            </c:spPr>
            <c:extLst>
              <c:ext xmlns:c16="http://schemas.microsoft.com/office/drawing/2014/chart" uri="{C3380CC4-5D6E-409C-BE32-E72D297353CC}">
                <c16:uniqueId val="{00000001-3B0C-4571-87A3-B8FAB984EDC6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03-3B0C-4571-87A3-B8FAB984EDC6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</c:spPr>
            <c:extLst>
              <c:ext xmlns:c16="http://schemas.microsoft.com/office/drawing/2014/chart" uri="{C3380CC4-5D6E-409C-BE32-E72D297353CC}">
                <c16:uniqueId val="{00000005-3B0C-4571-87A3-B8FAB984EDC6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'Hoja 6'!$B$41:$B$43</c:f>
              <c:strCache>
                <c:ptCount val="3"/>
                <c:pt idx="0">
                  <c:v>CONTENIDO </c:v>
                </c:pt>
                <c:pt idx="1">
                  <c:v>DOCUMENTACIÓN</c:v>
                </c:pt>
                <c:pt idx="2">
                  <c:v>NIVEL DE ACUERDO</c:v>
                </c:pt>
              </c:strCache>
            </c:strRef>
          </c:cat>
          <c:val>
            <c:numRef>
              <c:f>'Hoja 6'!$C$41:$C$43</c:f>
              <c:numCache>
                <c:formatCode>General</c:formatCode>
                <c:ptCount val="3"/>
                <c:pt idx="0">
                  <c:v>78</c:v>
                </c:pt>
                <c:pt idx="1">
                  <c:v>80</c:v>
                </c:pt>
                <c:pt idx="2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B0C-4571-87A3-B8FAB984ED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endParaRPr lang="es-EC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lang="es-EC" b="1" i="0">
                <a:solidFill>
                  <a:srgbClr val="757575"/>
                </a:solidFill>
                <a:latin typeface="+mn-lt"/>
              </a:rPr>
              <a:t>CRITERIO DE CALIDAD </a:t>
            </a:r>
          </a:p>
        </c:rich>
      </c:tx>
      <c:layout>
        <c:manualLayout>
          <c:xMode val="edge"/>
          <c:yMode val="edge"/>
          <c:x val="0.30949300087489068"/>
          <c:y val="6.0185185185185182E-2"/>
        </c:manualLayout>
      </c:layout>
      <c:overlay val="0"/>
    </c:title>
    <c:autoTitleDeleted val="0"/>
    <c:view3D>
      <c:rotX val="50"/>
      <c:rotY val="0"/>
      <c:rAngAx val="1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rgbClr val="4F81BD"/>
              </a:solidFill>
            </c:spPr>
            <c:extLst>
              <c:ext xmlns:c16="http://schemas.microsoft.com/office/drawing/2014/chart" uri="{C3380CC4-5D6E-409C-BE32-E72D297353CC}">
                <c16:uniqueId val="{00000001-876C-4B1D-B818-ADFF1538DADB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03-876C-4B1D-B818-ADFF1538DADB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</c:spPr>
            <c:extLst>
              <c:ext xmlns:c16="http://schemas.microsoft.com/office/drawing/2014/chart" uri="{C3380CC4-5D6E-409C-BE32-E72D297353CC}">
                <c16:uniqueId val="{00000005-876C-4B1D-B818-ADFF1538DADB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'Hoja 7'!$B$41:$B$43</c:f>
              <c:strCache>
                <c:ptCount val="3"/>
                <c:pt idx="0">
                  <c:v>CONTENIDO </c:v>
                </c:pt>
                <c:pt idx="1">
                  <c:v>DOCUMENTACIÓN</c:v>
                </c:pt>
                <c:pt idx="2">
                  <c:v>NIVEL DE ACUERDO</c:v>
                </c:pt>
              </c:strCache>
            </c:strRef>
          </c:cat>
          <c:val>
            <c:numRef>
              <c:f>'Hoja 7'!$C$41:$C$43</c:f>
              <c:numCache>
                <c:formatCode>0%</c:formatCode>
                <c:ptCount val="3"/>
                <c:pt idx="0">
                  <c:v>0.77777777777777779</c:v>
                </c:pt>
                <c:pt idx="1">
                  <c:v>0.8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76C-4B1D-B818-ADFF1538DA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endParaRPr lang="es-EC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247650</xdr:colOff>
      <xdr:row>33</xdr:row>
      <xdr:rowOff>485775</xdr:rowOff>
    </xdr:from>
    <xdr:ext cx="4286250" cy="2143125"/>
    <xdr:graphicFrame macro="">
      <xdr:nvGraphicFramePr>
        <xdr:cNvPr id="913817519" name="Chart 3">
          <a:extLst>
            <a:ext uri="{FF2B5EF4-FFF2-40B4-BE49-F238E27FC236}">
              <a16:creationId xmlns:a16="http://schemas.microsoft.com/office/drawing/2014/main" id="{00000000-0008-0000-0100-0000AFBF77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247650</xdr:colOff>
      <xdr:row>33</xdr:row>
      <xdr:rowOff>485775</xdr:rowOff>
    </xdr:from>
    <xdr:ext cx="4286250" cy="2143125"/>
    <xdr:graphicFrame macro="">
      <xdr:nvGraphicFramePr>
        <xdr:cNvPr id="390834626" name="Chart 1">
          <a:extLst>
            <a:ext uri="{FF2B5EF4-FFF2-40B4-BE49-F238E27FC236}">
              <a16:creationId xmlns:a16="http://schemas.microsoft.com/office/drawing/2014/main" id="{00000000-0008-0000-0200-0000C2A94B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247650</xdr:colOff>
      <xdr:row>33</xdr:row>
      <xdr:rowOff>485775</xdr:rowOff>
    </xdr:from>
    <xdr:ext cx="4286250" cy="2143125"/>
    <xdr:graphicFrame macro="">
      <xdr:nvGraphicFramePr>
        <xdr:cNvPr id="30357766" name="Chart 2">
          <a:extLst>
            <a:ext uri="{FF2B5EF4-FFF2-40B4-BE49-F238E27FC236}">
              <a16:creationId xmlns:a16="http://schemas.microsoft.com/office/drawing/2014/main" id="{00000000-0008-0000-0300-00000639CF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247650</xdr:colOff>
      <xdr:row>33</xdr:row>
      <xdr:rowOff>485775</xdr:rowOff>
    </xdr:from>
    <xdr:ext cx="4286250" cy="2143125"/>
    <xdr:graphicFrame macro="">
      <xdr:nvGraphicFramePr>
        <xdr:cNvPr id="1876958454" name="Chart 4">
          <a:extLst>
            <a:ext uri="{FF2B5EF4-FFF2-40B4-BE49-F238E27FC236}">
              <a16:creationId xmlns:a16="http://schemas.microsoft.com/office/drawing/2014/main" id="{00000000-0008-0000-0400-0000F61CE0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247650</xdr:colOff>
      <xdr:row>33</xdr:row>
      <xdr:rowOff>485775</xdr:rowOff>
    </xdr:from>
    <xdr:ext cx="4286250" cy="2143125"/>
    <xdr:graphicFrame macro="">
      <xdr:nvGraphicFramePr>
        <xdr:cNvPr id="1615949729" name="Chart 5">
          <a:extLst>
            <a:ext uri="{FF2B5EF4-FFF2-40B4-BE49-F238E27FC236}">
              <a16:creationId xmlns:a16="http://schemas.microsoft.com/office/drawing/2014/main" id="{00000000-0008-0000-0500-0000A16F51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247650</xdr:colOff>
      <xdr:row>33</xdr:row>
      <xdr:rowOff>485775</xdr:rowOff>
    </xdr:from>
    <xdr:ext cx="4286250" cy="2143125"/>
    <xdr:graphicFrame macro="">
      <xdr:nvGraphicFramePr>
        <xdr:cNvPr id="865395529" name="Chart 6">
          <a:extLst>
            <a:ext uri="{FF2B5EF4-FFF2-40B4-BE49-F238E27FC236}">
              <a16:creationId xmlns:a16="http://schemas.microsoft.com/office/drawing/2014/main" id="{00000000-0008-0000-0600-000049E394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247650</xdr:colOff>
      <xdr:row>33</xdr:row>
      <xdr:rowOff>485775</xdr:rowOff>
    </xdr:from>
    <xdr:ext cx="4286250" cy="2143125"/>
    <xdr:graphicFrame macro="">
      <xdr:nvGraphicFramePr>
        <xdr:cNvPr id="1455289901" name="Chart 7">
          <a:extLst>
            <a:ext uri="{FF2B5EF4-FFF2-40B4-BE49-F238E27FC236}">
              <a16:creationId xmlns:a16="http://schemas.microsoft.com/office/drawing/2014/main" id="{00000000-0008-0000-0700-00002DF6BD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247650</xdr:colOff>
      <xdr:row>33</xdr:row>
      <xdr:rowOff>485775</xdr:rowOff>
    </xdr:from>
    <xdr:ext cx="4286250" cy="2143125"/>
    <xdr:graphicFrame macro="">
      <xdr:nvGraphicFramePr>
        <xdr:cNvPr id="1952984550" name="Chart 8">
          <a:extLst>
            <a:ext uri="{FF2B5EF4-FFF2-40B4-BE49-F238E27FC236}">
              <a16:creationId xmlns:a16="http://schemas.microsoft.com/office/drawing/2014/main" id="{00000000-0008-0000-0800-0000E62D68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247650</xdr:colOff>
      <xdr:row>33</xdr:row>
      <xdr:rowOff>485775</xdr:rowOff>
    </xdr:from>
    <xdr:ext cx="4286250" cy="2143125"/>
    <xdr:graphicFrame macro="">
      <xdr:nvGraphicFramePr>
        <xdr:cNvPr id="72157968" name="Chart 9">
          <a:extLst>
            <a:ext uri="{FF2B5EF4-FFF2-40B4-BE49-F238E27FC236}">
              <a16:creationId xmlns:a16="http://schemas.microsoft.com/office/drawing/2014/main" id="{00000000-0008-0000-0900-0000100B4D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247650</xdr:colOff>
      <xdr:row>33</xdr:row>
      <xdr:rowOff>485775</xdr:rowOff>
    </xdr:from>
    <xdr:ext cx="4286250" cy="2143125"/>
    <xdr:graphicFrame macro="">
      <xdr:nvGraphicFramePr>
        <xdr:cNvPr id="1077833185" name="Chart 10">
          <a:extLst>
            <a:ext uri="{FF2B5EF4-FFF2-40B4-BE49-F238E27FC236}">
              <a16:creationId xmlns:a16="http://schemas.microsoft.com/office/drawing/2014/main" id="{00000000-0008-0000-0A00-0000E16D3E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le_1" displayName="Table_1" ref="A7:D16">
  <tableColumns count="4">
    <tableColumn id="1" xr3:uid="{00000000-0010-0000-0000-000001000000}" name="No."/>
    <tableColumn id="2" xr3:uid="{00000000-0010-0000-0000-000002000000}" name="Pregunta"/>
    <tableColumn id="3" xr3:uid="{00000000-0010-0000-0000-000003000000}" name="SI"/>
    <tableColumn id="4" xr3:uid="{00000000-0010-0000-0000-000004000000}" name="NO "/>
  </tableColumns>
  <tableStyleInfo name="MODELO LISTA DE COMPROBACION - 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1000000}" name="Table_2" displayName="Table_2" ref="A21:D26">
  <tableColumns count="4">
    <tableColumn id="1" xr3:uid="{00000000-0010-0000-0100-000001000000}" name="No."/>
    <tableColumn id="2" xr3:uid="{00000000-0010-0000-0100-000002000000}" name="Pregunta"/>
    <tableColumn id="3" xr3:uid="{00000000-0010-0000-0100-000003000000}" name="SI"/>
    <tableColumn id="4" xr3:uid="{00000000-0010-0000-0100-000004000000}" name="NO "/>
  </tableColumns>
  <tableStyleInfo name="MODELO LISTA DE COMPROBACION - 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2000000}" name="Table_3" displayName="Table_3" ref="A31:D34">
  <tableColumns count="4">
    <tableColumn id="1" xr3:uid="{00000000-0010-0000-0200-000001000000}" name="No."/>
    <tableColumn id="2" xr3:uid="{00000000-0010-0000-0200-000002000000}" name="Pregunta"/>
    <tableColumn id="3" xr3:uid="{00000000-0010-0000-0200-000003000000}" name="SI"/>
    <tableColumn id="4" xr3:uid="{00000000-0010-0000-0200-000004000000}" name="NO "/>
  </tableColumns>
  <tableStyleInfo name="MODELO LISTA DE COMPROBACION - -style 3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3000000}" name="Table_4" displayName="Table_4" ref="A7:D16">
  <tableColumns count="4">
    <tableColumn id="1" xr3:uid="{00000000-0010-0000-0300-000001000000}" name="No."/>
    <tableColumn id="2" xr3:uid="{00000000-0010-0000-0300-000002000000}" name="Pregunta"/>
    <tableColumn id="3" xr3:uid="{00000000-0010-0000-0300-000003000000}" name="SI"/>
    <tableColumn id="4" xr3:uid="{00000000-0010-0000-0300-000004000000}" name="NO "/>
  </tableColumns>
  <tableStyleInfo name="MODELO LISTA DE COMPROBACIÓN - -style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" displayName="Table_5" ref="A21:D26">
  <tableColumns count="4">
    <tableColumn id="1" xr3:uid="{00000000-0010-0000-0400-000001000000}" name="No."/>
    <tableColumn id="2" xr3:uid="{00000000-0010-0000-0400-000002000000}" name="Pregunta"/>
    <tableColumn id="3" xr3:uid="{00000000-0010-0000-0400-000003000000}" name="SI"/>
    <tableColumn id="4" xr3:uid="{00000000-0010-0000-0400-000004000000}" name="NO "/>
  </tableColumns>
  <tableStyleInfo name="MODELO LISTA DE COMPROBACIÓN - -style 2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5000000}" name="Table_6" displayName="Table_6" ref="A31:D34">
  <tableColumns count="4">
    <tableColumn id="1" xr3:uid="{00000000-0010-0000-0500-000001000000}" name="No."/>
    <tableColumn id="2" xr3:uid="{00000000-0010-0000-0500-000002000000}" name="Pregunta"/>
    <tableColumn id="3" xr3:uid="{00000000-0010-0000-0500-000003000000}" name="SI"/>
    <tableColumn id="4" xr3:uid="{00000000-0010-0000-0500-000004000000}" name="NO "/>
  </tableColumns>
  <tableStyleInfo name="MODELO LISTA DE COMPROBACIÓN - -style 3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6000000}" name="Table_7" displayName="Table_7" ref="A7:D16">
  <tableColumns count="4">
    <tableColumn id="1" xr3:uid="{00000000-0010-0000-0600-000001000000}" name="No."/>
    <tableColumn id="2" xr3:uid="{00000000-0010-0000-0600-000002000000}" name="Pregunta"/>
    <tableColumn id="3" xr3:uid="{00000000-0010-0000-0600-000003000000}" name="SI"/>
    <tableColumn id="4" xr3:uid="{00000000-0010-0000-0600-000004000000}" name="NO "/>
  </tableColumns>
  <tableStyleInfo name="MODELO DE LISTA DE COMPROBACION-style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7000000}" name="Table_8" displayName="Table_8" ref="A21:D26">
  <tableColumns count="4">
    <tableColumn id="1" xr3:uid="{00000000-0010-0000-0700-000001000000}" name="No."/>
    <tableColumn id="2" xr3:uid="{00000000-0010-0000-0700-000002000000}" name="Pregunta"/>
    <tableColumn id="3" xr3:uid="{00000000-0010-0000-0700-000003000000}" name="SI"/>
    <tableColumn id="4" xr3:uid="{00000000-0010-0000-0700-000004000000}" name="NO "/>
  </tableColumns>
  <tableStyleInfo name="MODELO DE LISTA DE COMPROBACION-style 2" showFirstColumn="1" showLastColumn="1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8000000}" name="Table_9" displayName="Table_9" ref="A31:D34">
  <tableColumns count="4">
    <tableColumn id="1" xr3:uid="{00000000-0010-0000-0800-000001000000}" name="No."/>
    <tableColumn id="2" xr3:uid="{00000000-0010-0000-0800-000002000000}" name="Pregunta"/>
    <tableColumn id="3" xr3:uid="{00000000-0010-0000-0800-000003000000}" name="SI"/>
    <tableColumn id="4" xr3:uid="{00000000-0010-0000-0800-000004000000}" name="NO "/>
  </tableColumns>
  <tableStyleInfo name="MODELO DE LISTA DE COMPROBACION-style 3" showFirstColumn="1" showLastColumn="1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_17" displayName="Table_17" ref="A7:D16">
  <tableColumns count="4">
    <tableColumn id="1" xr3:uid="{00000000-0010-0000-0900-000001000000}" name="No."/>
    <tableColumn id="2" xr3:uid="{00000000-0010-0000-0900-000002000000}" name="Pregunta"/>
    <tableColumn id="3" xr3:uid="{00000000-0010-0000-0900-000003000000}" name="SI"/>
    <tableColumn id="4" xr3:uid="{00000000-0010-0000-0900-000004000000}" name="NO "/>
  </tableColumns>
  <tableStyleInfo name="Hoja 1-style" showFirstColumn="1" showLastColumn="1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A000000}" name="Table_15" displayName="Table_15" ref="A21:D26">
  <tableColumns count="4">
    <tableColumn id="1" xr3:uid="{00000000-0010-0000-0A00-000001000000}" name="No."/>
    <tableColumn id="2" xr3:uid="{00000000-0010-0000-0A00-000002000000}" name="Pregunta"/>
    <tableColumn id="3" xr3:uid="{00000000-0010-0000-0A00-000003000000}" name="SI"/>
    <tableColumn id="4" xr3:uid="{00000000-0010-0000-0A00-000004000000}" name="NO "/>
  </tableColumns>
  <tableStyleInfo name="Hoja 1-style 2" showFirstColumn="1" showLastColumn="1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B000000}" name="Table_16" displayName="Table_16" ref="A31:D34">
  <tableColumns count="4">
    <tableColumn id="1" xr3:uid="{00000000-0010-0000-0B00-000001000000}" name="No."/>
    <tableColumn id="2" xr3:uid="{00000000-0010-0000-0B00-000002000000}" name="Pregunta"/>
    <tableColumn id="3" xr3:uid="{00000000-0010-0000-0B00-000003000000}" name="SI"/>
    <tableColumn id="4" xr3:uid="{00000000-0010-0000-0B00-000004000000}" name="NO "/>
  </tableColumns>
  <tableStyleInfo name="Hoja 1-style 3" showFirstColumn="1" showLastColumn="1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C000000}" name="Table_24" displayName="Table_24" ref="A7:D16">
  <tableColumns count="4">
    <tableColumn id="1" xr3:uid="{00000000-0010-0000-0C00-000001000000}" name="No."/>
    <tableColumn id="2" xr3:uid="{00000000-0010-0000-0C00-000002000000}" name="Pregunta"/>
    <tableColumn id="3" xr3:uid="{00000000-0010-0000-0C00-000003000000}" name="SI"/>
    <tableColumn id="4" xr3:uid="{00000000-0010-0000-0C00-000004000000}" name="NO "/>
  </tableColumns>
  <tableStyleInfo name="Hoja 2-style" showFirstColumn="1" showLastColumn="1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able_26" displayName="Table_26" ref="A21:D26">
  <tableColumns count="4">
    <tableColumn id="1" xr3:uid="{00000000-0010-0000-0D00-000001000000}" name="No."/>
    <tableColumn id="2" xr3:uid="{00000000-0010-0000-0D00-000002000000}" name="Pregunta"/>
    <tableColumn id="3" xr3:uid="{00000000-0010-0000-0D00-000003000000}" name="SI"/>
    <tableColumn id="4" xr3:uid="{00000000-0010-0000-0D00-000004000000}" name="NO "/>
  </tableColumns>
  <tableStyleInfo name="Hoja 2-style 2" showFirstColumn="1" showLastColumn="1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0E000000}" name="Table_25" displayName="Table_25" ref="A31:D34">
  <tableColumns count="4">
    <tableColumn id="1" xr3:uid="{00000000-0010-0000-0E00-000001000000}" name="No."/>
    <tableColumn id="2" xr3:uid="{00000000-0010-0000-0E00-000002000000}" name="Pregunta"/>
    <tableColumn id="3" xr3:uid="{00000000-0010-0000-0E00-000003000000}" name="SI"/>
    <tableColumn id="4" xr3:uid="{00000000-0010-0000-0E00-000004000000}" name="NO "/>
  </tableColumns>
  <tableStyleInfo name="Hoja 2-style 3" showFirstColumn="1" showLastColumn="1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F000000}" name="Table" displayName="Table" ref="A7:D16">
  <tableColumns count="4">
    <tableColumn id="1" xr3:uid="{00000000-0010-0000-0F00-000001000000}" name="No."/>
    <tableColumn id="2" xr3:uid="{00000000-0010-0000-0F00-000002000000}" name="Pregunta"/>
    <tableColumn id="3" xr3:uid="{00000000-0010-0000-0F00-000003000000}" name="SI"/>
    <tableColumn id="4" xr3:uid="{00000000-0010-0000-0F00-000004000000}" name="NO "/>
  </tableColumns>
  <tableStyleInfo name="Hoja 3-style" showFirstColumn="1" showLastColumn="1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10000000}" name="Table_11" displayName="Table_11" ref="A21:D26">
  <tableColumns count="4">
    <tableColumn id="1" xr3:uid="{00000000-0010-0000-1000-000001000000}" name="No."/>
    <tableColumn id="2" xr3:uid="{00000000-0010-0000-1000-000002000000}" name="Pregunta"/>
    <tableColumn id="3" xr3:uid="{00000000-0010-0000-1000-000003000000}" name="SI"/>
    <tableColumn id="4" xr3:uid="{00000000-0010-0000-1000-000004000000}" name="NO "/>
  </tableColumns>
  <tableStyleInfo name="Hoja 3-style 2" showFirstColumn="1" showLastColumn="1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Table_10" displayName="Table_10" ref="A31:D34">
  <tableColumns count="4">
    <tableColumn id="1" xr3:uid="{00000000-0010-0000-1100-000001000000}" name="No."/>
    <tableColumn id="2" xr3:uid="{00000000-0010-0000-1100-000002000000}" name="Pregunta"/>
    <tableColumn id="3" xr3:uid="{00000000-0010-0000-1100-000003000000}" name="SI"/>
    <tableColumn id="4" xr3:uid="{00000000-0010-0000-1100-000004000000}" name="NO "/>
  </tableColumns>
  <tableStyleInfo name="Hoja 3-style 3" showFirstColumn="1" showLastColumn="1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Table_20" displayName="Table_20" ref="A7:D16">
  <tableColumns count="4">
    <tableColumn id="1" xr3:uid="{00000000-0010-0000-1200-000001000000}" name="No."/>
    <tableColumn id="2" xr3:uid="{00000000-0010-0000-1200-000002000000}" name="Pregunta"/>
    <tableColumn id="3" xr3:uid="{00000000-0010-0000-1200-000003000000}" name="SI"/>
    <tableColumn id="4" xr3:uid="{00000000-0010-0000-1200-000004000000}" name="NO "/>
  </tableColumns>
  <tableStyleInfo name="Hoja 4-style" showFirstColumn="1" showLastColumn="1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Table_18" displayName="Table_18" ref="A21:D26">
  <tableColumns count="4">
    <tableColumn id="1" xr3:uid="{00000000-0010-0000-1300-000001000000}" name="No."/>
    <tableColumn id="2" xr3:uid="{00000000-0010-0000-1300-000002000000}" name="Pregunta"/>
    <tableColumn id="3" xr3:uid="{00000000-0010-0000-1300-000003000000}" name="SI"/>
    <tableColumn id="4" xr3:uid="{00000000-0010-0000-1300-000004000000}" name="NO "/>
  </tableColumns>
  <tableStyleInfo name="Hoja 4-style 2" showFirstColumn="1" showLastColumn="1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4000000}" name="Table_19" displayName="Table_19" ref="A31:D34">
  <tableColumns count="4">
    <tableColumn id="1" xr3:uid="{00000000-0010-0000-1400-000001000000}" name="No."/>
    <tableColumn id="2" xr3:uid="{00000000-0010-0000-1400-000002000000}" name="Pregunta"/>
    <tableColumn id="3" xr3:uid="{00000000-0010-0000-1400-000003000000}" name="SI"/>
    <tableColumn id="4" xr3:uid="{00000000-0010-0000-1400-000004000000}" name="NO "/>
  </tableColumns>
  <tableStyleInfo name="Hoja 4-style 3" showFirstColumn="1" showLastColumn="1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5000000}" name="Table_27" displayName="Table_27" ref="A7:D16">
  <tableColumns count="4">
    <tableColumn id="1" xr3:uid="{00000000-0010-0000-1500-000001000000}" name="No."/>
    <tableColumn id="2" xr3:uid="{00000000-0010-0000-1500-000002000000}" name="Pregunta"/>
    <tableColumn id="3" xr3:uid="{00000000-0010-0000-1500-000003000000}" name="SI"/>
    <tableColumn id="4" xr3:uid="{00000000-0010-0000-1500-000004000000}" name="NO "/>
  </tableColumns>
  <tableStyleInfo name="Hoja 5-style" showFirstColumn="1" showLastColumn="1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6000000}" name="Table_29" displayName="Table_29" ref="A21:D26">
  <tableColumns count="4">
    <tableColumn id="1" xr3:uid="{00000000-0010-0000-1600-000001000000}" name="No."/>
    <tableColumn id="2" xr3:uid="{00000000-0010-0000-1600-000002000000}" name="Pregunta"/>
    <tableColumn id="3" xr3:uid="{00000000-0010-0000-1600-000003000000}" name="SI"/>
    <tableColumn id="4" xr3:uid="{00000000-0010-0000-1600-000004000000}" name="NO "/>
  </tableColumns>
  <tableStyleInfo name="Hoja 5-style 2" showFirstColumn="1" showLastColumn="1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17000000}" name="Table_28" displayName="Table_28" ref="A31:D34">
  <tableColumns count="4">
    <tableColumn id="1" xr3:uid="{00000000-0010-0000-1700-000001000000}" name="No."/>
    <tableColumn id="2" xr3:uid="{00000000-0010-0000-1700-000002000000}" name="Pregunta"/>
    <tableColumn id="3" xr3:uid="{00000000-0010-0000-1700-000003000000}" name="SI"/>
    <tableColumn id="4" xr3:uid="{00000000-0010-0000-1700-000004000000}" name="NO "/>
  </tableColumns>
  <tableStyleInfo name="Hoja 5-style 3" showFirstColumn="1" showLastColumn="1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0000000-000C-0000-FFFF-FFFF18000000}" name="Table_12" displayName="Table_12" ref="A7:D16">
  <tableColumns count="4">
    <tableColumn id="1" xr3:uid="{00000000-0010-0000-1800-000001000000}" name="No."/>
    <tableColumn id="2" xr3:uid="{00000000-0010-0000-1800-000002000000}" name="Pregunta"/>
    <tableColumn id="3" xr3:uid="{00000000-0010-0000-1800-000003000000}" name="SI"/>
    <tableColumn id="4" xr3:uid="{00000000-0010-0000-1800-000004000000}" name="NO "/>
  </tableColumns>
  <tableStyleInfo name="Hoja 6-style" showFirstColumn="1" showLastColumn="1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00000000-000C-0000-FFFF-FFFF19000000}" name="Table_14" displayName="Table_14" ref="A21:D26">
  <tableColumns count="4">
    <tableColumn id="1" xr3:uid="{00000000-0010-0000-1900-000001000000}" name="No."/>
    <tableColumn id="2" xr3:uid="{00000000-0010-0000-1900-000002000000}" name="Pregunta"/>
    <tableColumn id="3" xr3:uid="{00000000-0010-0000-1900-000003000000}" name="SI"/>
    <tableColumn id="4" xr3:uid="{00000000-0010-0000-1900-000004000000}" name="NO "/>
  </tableColumns>
  <tableStyleInfo name="Hoja 6-style 2" showFirstColumn="1" showLastColumn="1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00000000-000C-0000-FFFF-FFFF1A000000}" name="Table_13" displayName="Table_13" ref="A31:D34">
  <tableColumns count="4">
    <tableColumn id="1" xr3:uid="{00000000-0010-0000-1A00-000001000000}" name="No."/>
    <tableColumn id="2" xr3:uid="{00000000-0010-0000-1A00-000002000000}" name="Pregunta"/>
    <tableColumn id="3" xr3:uid="{00000000-0010-0000-1A00-000003000000}" name="SI"/>
    <tableColumn id="4" xr3:uid="{00000000-0010-0000-1A00-000004000000}" name="NO "/>
  </tableColumns>
  <tableStyleInfo name="Hoja 6-style 3" showFirstColumn="1" showLastColumn="1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00000000-000C-0000-FFFF-FFFF1B000000}" name="Table_23" displayName="Table_23" ref="A7:D16">
  <tableColumns count="4">
    <tableColumn id="1" xr3:uid="{00000000-0010-0000-1B00-000001000000}" name="No."/>
    <tableColumn id="2" xr3:uid="{00000000-0010-0000-1B00-000002000000}" name="Pregunta"/>
    <tableColumn id="3" xr3:uid="{00000000-0010-0000-1B00-000003000000}" name="SI"/>
    <tableColumn id="4" xr3:uid="{00000000-0010-0000-1B00-000004000000}" name="NO "/>
  </tableColumns>
  <tableStyleInfo name="Hoja 7-style" showFirstColumn="1" showLastColumn="1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00000000-000C-0000-FFFF-FFFF1C000000}" name="Table_21" displayName="Table_21" ref="A21:D26">
  <tableColumns count="4">
    <tableColumn id="1" xr3:uid="{00000000-0010-0000-1C00-000001000000}" name="No."/>
    <tableColumn id="2" xr3:uid="{00000000-0010-0000-1C00-000002000000}" name="Pregunta"/>
    <tableColumn id="3" xr3:uid="{00000000-0010-0000-1C00-000003000000}" name="SI"/>
    <tableColumn id="4" xr3:uid="{00000000-0010-0000-1C00-000004000000}" name="NO "/>
  </tableColumns>
  <tableStyleInfo name="Hoja 7-style 2" showFirstColumn="1" showLastColumn="1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00000000-000C-0000-FFFF-FFFF1D000000}" name="Table_22" displayName="Table_22" ref="A31:D34">
  <tableColumns count="4">
    <tableColumn id="1" xr3:uid="{00000000-0010-0000-1D00-000001000000}" name="No."/>
    <tableColumn id="2" xr3:uid="{00000000-0010-0000-1D00-000002000000}" name="Pregunta"/>
    <tableColumn id="3" xr3:uid="{00000000-0010-0000-1D00-000003000000}" name="SI"/>
    <tableColumn id="4" xr3:uid="{00000000-0010-0000-1D00-000004000000}" name="NO "/>
  </tableColumns>
  <tableStyleInfo name="Hoja 7-style 3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7" Type="http://schemas.openxmlformats.org/officeDocument/2006/relationships/comments" Target="../comments2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3.xml"/><Relationship Id="rId5" Type="http://schemas.openxmlformats.org/officeDocument/2006/relationships/table" Target="../tables/table2.xml"/><Relationship Id="rId4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7" Type="http://schemas.openxmlformats.org/officeDocument/2006/relationships/comments" Target="../comments3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7" Type="http://schemas.openxmlformats.org/officeDocument/2006/relationships/comments" Target="../comments4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9.xml"/><Relationship Id="rId5" Type="http://schemas.openxmlformats.org/officeDocument/2006/relationships/table" Target="../tables/table8.xml"/><Relationship Id="rId4" Type="http://schemas.openxmlformats.org/officeDocument/2006/relationships/table" Target="../tables/table7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Relationship Id="rId5" Type="http://schemas.openxmlformats.org/officeDocument/2006/relationships/table" Target="../tables/table12.xml"/><Relationship Id="rId4" Type="http://schemas.openxmlformats.org/officeDocument/2006/relationships/table" Target="../tables/table1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Relationship Id="rId5" Type="http://schemas.openxmlformats.org/officeDocument/2006/relationships/table" Target="../tables/table15.xml"/><Relationship Id="rId4" Type="http://schemas.openxmlformats.org/officeDocument/2006/relationships/table" Target="../tables/table14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6.x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Relationship Id="rId5" Type="http://schemas.openxmlformats.org/officeDocument/2006/relationships/table" Target="../tables/table18.xml"/><Relationship Id="rId4" Type="http://schemas.openxmlformats.org/officeDocument/2006/relationships/table" Target="../tables/table1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9.x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Relationship Id="rId5" Type="http://schemas.openxmlformats.org/officeDocument/2006/relationships/table" Target="../tables/table21.xml"/><Relationship Id="rId4" Type="http://schemas.openxmlformats.org/officeDocument/2006/relationships/table" Target="../tables/table20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2.x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Relationship Id="rId5" Type="http://schemas.openxmlformats.org/officeDocument/2006/relationships/table" Target="../tables/table24.xml"/><Relationship Id="rId4" Type="http://schemas.openxmlformats.org/officeDocument/2006/relationships/table" Target="../tables/table23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5.x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Relationship Id="rId5" Type="http://schemas.openxmlformats.org/officeDocument/2006/relationships/table" Target="../tables/table27.xml"/><Relationship Id="rId4" Type="http://schemas.openxmlformats.org/officeDocument/2006/relationships/table" Target="../tables/table26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8.x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Relationship Id="rId5" Type="http://schemas.openxmlformats.org/officeDocument/2006/relationships/table" Target="../tables/table30.xml"/><Relationship Id="rId4" Type="http://schemas.openxmlformats.org/officeDocument/2006/relationships/table" Target="../tables/table2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Y1000"/>
  <sheetViews>
    <sheetView showGridLines="0" zoomScale="70" zoomScaleNormal="70" zoomScaleSheetLayoutView="40" workbookViewId="0"/>
  </sheetViews>
  <sheetFormatPr baseColWidth="10" defaultColWidth="14.42578125" defaultRowHeight="15" customHeight="1" x14ac:dyDescent="0.25"/>
  <cols>
    <col min="1" max="1" width="4.5703125" customWidth="1"/>
    <col min="2" max="2" width="4.42578125" customWidth="1"/>
    <col min="3" max="3" width="3.7109375" customWidth="1"/>
    <col min="4" max="4" width="34.85546875" customWidth="1"/>
    <col min="5" max="5" width="9.7109375" customWidth="1"/>
    <col min="6" max="6" width="42.7109375" customWidth="1"/>
    <col min="7" max="7" width="10.140625" customWidth="1"/>
    <col min="8" max="8" width="4.7109375" hidden="1" customWidth="1"/>
    <col min="9" max="9" width="42.7109375" customWidth="1"/>
    <col min="10" max="10" width="9.85546875" customWidth="1"/>
    <col min="11" max="11" width="39.5703125" customWidth="1"/>
    <col min="12" max="12" width="10.85546875" customWidth="1"/>
    <col min="13" max="13" width="44" customWidth="1"/>
    <col min="14" max="14" width="15.85546875" customWidth="1"/>
    <col min="15" max="15" width="38.5703125" customWidth="1"/>
    <col min="17" max="17" width="41.28515625" customWidth="1"/>
    <col min="19" max="19" width="45.42578125" customWidth="1"/>
    <col min="21" max="21" width="38.85546875" customWidth="1"/>
    <col min="23" max="23" width="40.42578125" customWidth="1"/>
    <col min="25" max="25" width="31.5703125" customWidth="1"/>
  </cols>
  <sheetData>
    <row r="1" spans="2:25" ht="14.25" customHeight="1" x14ac:dyDescent="0.25">
      <c r="C1" s="1"/>
    </row>
    <row r="2" spans="2:25" ht="14.25" customHeight="1" x14ac:dyDescent="0.25">
      <c r="C2" s="1"/>
    </row>
    <row r="3" spans="2:25" ht="30" customHeight="1" x14ac:dyDescent="0.25">
      <c r="C3" s="68" t="s">
        <v>0</v>
      </c>
      <c r="D3" s="69"/>
      <c r="E3" s="69"/>
      <c r="F3" s="69"/>
      <c r="G3" s="69"/>
      <c r="H3" s="69"/>
      <c r="I3" s="69"/>
      <c r="J3" s="69"/>
      <c r="K3" s="69"/>
    </row>
    <row r="4" spans="2:25" ht="30" customHeight="1" x14ac:dyDescent="0.25">
      <c r="C4" s="69"/>
      <c r="D4" s="69"/>
      <c r="E4" s="69"/>
      <c r="F4" s="69"/>
      <c r="G4" s="69"/>
      <c r="H4" s="69"/>
      <c r="I4" s="69"/>
      <c r="J4" s="69"/>
      <c r="K4" s="69"/>
    </row>
    <row r="5" spans="2:25" ht="30" customHeight="1" x14ac:dyDescent="0.25">
      <c r="C5" s="2"/>
      <c r="D5" s="3" t="s">
        <v>1</v>
      </c>
      <c r="E5" s="70" t="s">
        <v>2</v>
      </c>
      <c r="F5" s="69"/>
      <c r="G5" s="69"/>
      <c r="H5" s="69"/>
      <c r="I5" s="69"/>
      <c r="J5" s="69"/>
      <c r="K5" s="69"/>
    </row>
    <row r="6" spans="2:25" ht="55.5" customHeight="1" x14ac:dyDescent="0.25">
      <c r="C6" s="1"/>
      <c r="F6" s="71" t="s">
        <v>3</v>
      </c>
      <c r="G6" s="72"/>
      <c r="H6" s="72"/>
      <c r="I6" s="72"/>
      <c r="J6" s="72"/>
      <c r="K6" s="73"/>
    </row>
    <row r="7" spans="2:25" ht="45" customHeight="1" x14ac:dyDescent="0.25">
      <c r="B7" s="65" t="s">
        <v>4</v>
      </c>
      <c r="C7" s="74" t="s">
        <v>5</v>
      </c>
      <c r="D7" s="75"/>
      <c r="E7" s="63" t="s">
        <v>6</v>
      </c>
      <c r="F7" s="65" t="s">
        <v>7</v>
      </c>
      <c r="G7" s="63" t="s">
        <v>6</v>
      </c>
      <c r="H7" s="4">
        <v>100</v>
      </c>
      <c r="I7" s="65" t="s">
        <v>8</v>
      </c>
      <c r="J7" s="63" t="s">
        <v>6</v>
      </c>
      <c r="K7" s="65" t="s">
        <v>9</v>
      </c>
      <c r="L7" s="63" t="s">
        <v>6</v>
      </c>
      <c r="M7" s="65" t="s">
        <v>10</v>
      </c>
      <c r="N7" s="63" t="s">
        <v>6</v>
      </c>
      <c r="O7" s="65" t="s">
        <v>11</v>
      </c>
      <c r="P7" s="63" t="s">
        <v>6</v>
      </c>
      <c r="Q7" s="67" t="s">
        <v>12</v>
      </c>
      <c r="R7" s="66" t="s">
        <v>13</v>
      </c>
      <c r="S7" s="65" t="s">
        <v>14</v>
      </c>
      <c r="T7" s="63" t="s">
        <v>6</v>
      </c>
      <c r="U7" s="65" t="s">
        <v>15</v>
      </c>
      <c r="V7" s="63" t="s">
        <v>6</v>
      </c>
      <c r="W7" s="67" t="s">
        <v>16</v>
      </c>
      <c r="X7" s="66" t="s">
        <v>13</v>
      </c>
      <c r="Y7" s="67" t="s">
        <v>17</v>
      </c>
    </row>
    <row r="8" spans="2:25" ht="60" customHeight="1" x14ac:dyDescent="0.25">
      <c r="B8" s="64"/>
      <c r="C8" s="76"/>
      <c r="D8" s="77"/>
      <c r="E8" s="64"/>
      <c r="F8" s="64"/>
      <c r="G8" s="64"/>
      <c r="H8" s="4">
        <v>0</v>
      </c>
      <c r="I8" s="64"/>
      <c r="J8" s="64"/>
      <c r="K8" s="64"/>
      <c r="L8" s="64"/>
      <c r="M8" s="64"/>
      <c r="N8" s="64"/>
      <c r="O8" s="64"/>
      <c r="P8" s="64"/>
      <c r="Q8" s="64"/>
      <c r="R8" s="64"/>
      <c r="S8" s="64"/>
      <c r="T8" s="64"/>
      <c r="U8" s="64"/>
      <c r="V8" s="64"/>
      <c r="W8" s="64"/>
      <c r="X8" s="64"/>
      <c r="Y8" s="64"/>
    </row>
    <row r="9" spans="2:25" ht="150.75" customHeight="1" x14ac:dyDescent="0.35">
      <c r="B9" s="5">
        <v>1</v>
      </c>
      <c r="C9" s="78" t="s">
        <v>18</v>
      </c>
      <c r="D9" s="73"/>
      <c r="E9" s="6" t="s">
        <v>19</v>
      </c>
      <c r="F9" s="7" t="s">
        <v>20</v>
      </c>
      <c r="G9" s="6" t="s">
        <v>19</v>
      </c>
      <c r="H9" s="8">
        <v>1</v>
      </c>
      <c r="I9" s="7" t="s">
        <v>20</v>
      </c>
      <c r="J9" s="6" t="s">
        <v>19</v>
      </c>
      <c r="K9" s="7" t="s">
        <v>20</v>
      </c>
      <c r="L9" s="6" t="s">
        <v>19</v>
      </c>
      <c r="M9" s="7" t="s">
        <v>21</v>
      </c>
      <c r="N9" s="6" t="s">
        <v>19</v>
      </c>
      <c r="O9" s="7" t="s">
        <v>22</v>
      </c>
      <c r="P9" s="9" t="s">
        <v>19</v>
      </c>
      <c r="Q9" s="10" t="s">
        <v>23</v>
      </c>
      <c r="R9" s="11" t="s">
        <v>19</v>
      </c>
      <c r="S9" s="7" t="s">
        <v>20</v>
      </c>
      <c r="T9" s="9" t="s">
        <v>19</v>
      </c>
      <c r="U9" s="7" t="s">
        <v>22</v>
      </c>
      <c r="V9" s="9" t="s">
        <v>19</v>
      </c>
      <c r="W9" s="10" t="s">
        <v>23</v>
      </c>
      <c r="X9" s="11" t="s">
        <v>19</v>
      </c>
      <c r="Y9" s="7" t="s">
        <v>20</v>
      </c>
    </row>
    <row r="10" spans="2:25" ht="203.25" customHeight="1" x14ac:dyDescent="0.35">
      <c r="B10" s="5">
        <v>2</v>
      </c>
      <c r="C10" s="79" t="s">
        <v>24</v>
      </c>
      <c r="D10" s="73"/>
      <c r="E10" s="6" t="s">
        <v>19</v>
      </c>
      <c r="F10" s="12" t="s">
        <v>25</v>
      </c>
      <c r="G10" s="6" t="s">
        <v>19</v>
      </c>
      <c r="I10" s="13" t="s">
        <v>26</v>
      </c>
      <c r="J10" s="6" t="s">
        <v>19</v>
      </c>
      <c r="K10" s="12" t="s">
        <v>27</v>
      </c>
      <c r="L10" s="6" t="s">
        <v>19</v>
      </c>
      <c r="M10" s="12" t="s">
        <v>28</v>
      </c>
      <c r="N10" s="6" t="s">
        <v>19</v>
      </c>
      <c r="O10" s="13" t="s">
        <v>29</v>
      </c>
      <c r="P10" s="9" t="s">
        <v>19</v>
      </c>
      <c r="Q10" s="10" t="s">
        <v>30</v>
      </c>
      <c r="R10" s="11" t="s">
        <v>19</v>
      </c>
      <c r="S10" s="12" t="s">
        <v>31</v>
      </c>
      <c r="T10" s="9" t="s">
        <v>19</v>
      </c>
      <c r="U10" s="12" t="s">
        <v>32</v>
      </c>
      <c r="V10" s="9" t="s">
        <v>19</v>
      </c>
      <c r="W10" s="10" t="s">
        <v>33</v>
      </c>
      <c r="X10" s="11" t="s">
        <v>19</v>
      </c>
      <c r="Y10" s="12" t="s">
        <v>34</v>
      </c>
    </row>
    <row r="11" spans="2:25" ht="176.25" customHeight="1" x14ac:dyDescent="0.35">
      <c r="B11" s="5">
        <v>3</v>
      </c>
      <c r="C11" s="78" t="s">
        <v>35</v>
      </c>
      <c r="D11" s="73"/>
      <c r="E11" s="6" t="s">
        <v>19</v>
      </c>
      <c r="F11" s="12" t="s">
        <v>36</v>
      </c>
      <c r="G11" s="6" t="s">
        <v>19</v>
      </c>
      <c r="I11" s="12" t="s">
        <v>37</v>
      </c>
      <c r="J11" s="6" t="s">
        <v>19</v>
      </c>
      <c r="K11" s="12" t="s">
        <v>38</v>
      </c>
      <c r="L11" s="6" t="s">
        <v>19</v>
      </c>
      <c r="M11" s="12" t="s">
        <v>39</v>
      </c>
      <c r="N11" s="6" t="s">
        <v>19</v>
      </c>
      <c r="O11" s="12" t="s">
        <v>37</v>
      </c>
      <c r="P11" s="9" t="s">
        <v>19</v>
      </c>
      <c r="Q11" s="10" t="s">
        <v>40</v>
      </c>
      <c r="R11" s="11" t="s">
        <v>19</v>
      </c>
      <c r="S11" s="12" t="s">
        <v>36</v>
      </c>
      <c r="T11" s="9" t="s">
        <v>19</v>
      </c>
      <c r="U11" s="12" t="s">
        <v>41</v>
      </c>
      <c r="V11" s="9" t="s">
        <v>19</v>
      </c>
      <c r="W11" s="10" t="s">
        <v>42</v>
      </c>
      <c r="X11" s="11" t="s">
        <v>19</v>
      </c>
      <c r="Y11" s="12" t="s">
        <v>36</v>
      </c>
    </row>
    <row r="12" spans="2:25" ht="102.75" customHeight="1" x14ac:dyDescent="0.35">
      <c r="B12" s="5">
        <v>4</v>
      </c>
      <c r="C12" s="78" t="s">
        <v>43</v>
      </c>
      <c r="D12" s="73"/>
      <c r="E12" s="6" t="s">
        <v>19</v>
      </c>
      <c r="F12" s="14" t="s">
        <v>44</v>
      </c>
      <c r="G12" s="15" t="s">
        <v>19</v>
      </c>
      <c r="I12" s="13" t="s">
        <v>45</v>
      </c>
      <c r="J12" s="15" t="s">
        <v>19</v>
      </c>
      <c r="K12" s="13" t="s">
        <v>46</v>
      </c>
      <c r="L12" s="15" t="s">
        <v>19</v>
      </c>
      <c r="M12" s="14" t="s">
        <v>44</v>
      </c>
      <c r="N12" s="15" t="s">
        <v>19</v>
      </c>
      <c r="O12" s="13" t="s">
        <v>45</v>
      </c>
      <c r="P12" s="9" t="s">
        <v>19</v>
      </c>
      <c r="Q12" s="10" t="s">
        <v>47</v>
      </c>
      <c r="R12" s="11" t="s">
        <v>19</v>
      </c>
      <c r="S12" s="14" t="s">
        <v>44</v>
      </c>
      <c r="T12" s="9" t="s">
        <v>19</v>
      </c>
      <c r="U12" s="16" t="s">
        <v>48</v>
      </c>
      <c r="V12" s="9" t="s">
        <v>19</v>
      </c>
      <c r="W12" s="10" t="s">
        <v>49</v>
      </c>
      <c r="X12" s="11" t="s">
        <v>19</v>
      </c>
      <c r="Y12" s="14" t="s">
        <v>44</v>
      </c>
    </row>
    <row r="13" spans="2:25" ht="113.25" customHeight="1" x14ac:dyDescent="0.35">
      <c r="B13" s="5">
        <v>5</v>
      </c>
      <c r="C13" s="78" t="s">
        <v>50</v>
      </c>
      <c r="D13" s="73"/>
      <c r="E13" s="6" t="s">
        <v>19</v>
      </c>
      <c r="F13" s="14" t="s">
        <v>51</v>
      </c>
      <c r="G13" s="6" t="s">
        <v>19</v>
      </c>
      <c r="I13" s="14" t="s">
        <v>51</v>
      </c>
      <c r="J13" s="6" t="s">
        <v>19</v>
      </c>
      <c r="K13" s="14" t="s">
        <v>51</v>
      </c>
      <c r="L13" s="6" t="s">
        <v>19</v>
      </c>
      <c r="M13" s="13" t="s">
        <v>52</v>
      </c>
      <c r="N13" s="6" t="s">
        <v>19</v>
      </c>
      <c r="O13" s="14" t="s">
        <v>51</v>
      </c>
      <c r="P13" s="9" t="s">
        <v>19</v>
      </c>
      <c r="Q13" s="10" t="s">
        <v>53</v>
      </c>
      <c r="R13" s="11" t="s">
        <v>19</v>
      </c>
      <c r="S13" s="14" t="s">
        <v>51</v>
      </c>
      <c r="T13" s="9" t="s">
        <v>19</v>
      </c>
      <c r="U13" s="13" t="s">
        <v>54</v>
      </c>
      <c r="V13" s="9" t="s">
        <v>19</v>
      </c>
      <c r="W13" s="10" t="s">
        <v>55</v>
      </c>
      <c r="X13" s="11" t="s">
        <v>19</v>
      </c>
      <c r="Y13" s="14" t="s">
        <v>51</v>
      </c>
    </row>
    <row r="14" spans="2:25" ht="129.75" customHeight="1" x14ac:dyDescent="0.35">
      <c r="B14" s="5">
        <v>6</v>
      </c>
      <c r="C14" s="78" t="s">
        <v>56</v>
      </c>
      <c r="D14" s="73"/>
      <c r="E14" s="6" t="s">
        <v>19</v>
      </c>
      <c r="F14" s="13" t="s">
        <v>57</v>
      </c>
      <c r="G14" s="15" t="s">
        <v>19</v>
      </c>
      <c r="I14" s="13" t="s">
        <v>57</v>
      </c>
      <c r="J14" s="15" t="s">
        <v>19</v>
      </c>
      <c r="K14" s="13" t="s">
        <v>58</v>
      </c>
      <c r="L14" s="15" t="s">
        <v>19</v>
      </c>
      <c r="M14" s="13" t="s">
        <v>57</v>
      </c>
      <c r="N14" s="15" t="s">
        <v>19</v>
      </c>
      <c r="O14" s="13" t="s">
        <v>59</v>
      </c>
      <c r="P14" s="9" t="s">
        <v>19</v>
      </c>
      <c r="Q14" s="10" t="s">
        <v>60</v>
      </c>
      <c r="R14" s="11" t="s">
        <v>19</v>
      </c>
      <c r="S14" s="13" t="s">
        <v>57</v>
      </c>
      <c r="T14" s="9" t="s">
        <v>19</v>
      </c>
      <c r="U14" s="13" t="s">
        <v>61</v>
      </c>
      <c r="V14" s="9" t="s">
        <v>19</v>
      </c>
      <c r="W14" s="10" t="s">
        <v>60</v>
      </c>
      <c r="X14" s="11" t="s">
        <v>19</v>
      </c>
      <c r="Y14" s="13" t="s">
        <v>57</v>
      </c>
    </row>
    <row r="15" spans="2:25" ht="135" customHeight="1" x14ac:dyDescent="0.35">
      <c r="B15" s="5">
        <v>7</v>
      </c>
      <c r="C15" s="78" t="s">
        <v>62</v>
      </c>
      <c r="D15" s="73"/>
      <c r="E15" s="17" t="s">
        <v>63</v>
      </c>
      <c r="F15" s="13" t="s">
        <v>64</v>
      </c>
      <c r="G15" s="17" t="s">
        <v>63</v>
      </c>
      <c r="I15" s="14" t="s">
        <v>65</v>
      </c>
      <c r="J15" s="17" t="s">
        <v>63</v>
      </c>
      <c r="K15" s="14" t="s">
        <v>65</v>
      </c>
      <c r="L15" s="17" t="s">
        <v>63</v>
      </c>
      <c r="M15" s="13" t="s">
        <v>64</v>
      </c>
      <c r="N15" s="17" t="s">
        <v>63</v>
      </c>
      <c r="O15" s="18" t="s">
        <v>66</v>
      </c>
      <c r="P15" s="19" t="s">
        <v>63</v>
      </c>
      <c r="Q15" s="10" t="s">
        <v>67</v>
      </c>
      <c r="R15" s="20" t="s">
        <v>63</v>
      </c>
      <c r="S15" s="13" t="s">
        <v>64</v>
      </c>
      <c r="T15" s="19" t="s">
        <v>63</v>
      </c>
      <c r="U15" s="13" t="s">
        <v>68</v>
      </c>
      <c r="V15" s="19" t="s">
        <v>63</v>
      </c>
      <c r="W15" s="10" t="s">
        <v>67</v>
      </c>
      <c r="X15" s="20" t="s">
        <v>63</v>
      </c>
      <c r="Y15" s="13" t="s">
        <v>64</v>
      </c>
    </row>
    <row r="16" spans="2:25" ht="103.5" customHeight="1" x14ac:dyDescent="0.35">
      <c r="B16" s="5">
        <v>8</v>
      </c>
      <c r="C16" s="78" t="s">
        <v>69</v>
      </c>
      <c r="D16" s="73"/>
      <c r="E16" s="17" t="s">
        <v>63</v>
      </c>
      <c r="F16" s="13" t="s">
        <v>70</v>
      </c>
      <c r="G16" s="17" t="s">
        <v>63</v>
      </c>
      <c r="I16" s="13" t="s">
        <v>70</v>
      </c>
      <c r="J16" s="17" t="s">
        <v>63</v>
      </c>
      <c r="K16" s="13" t="s">
        <v>70</v>
      </c>
      <c r="L16" s="17" t="s">
        <v>63</v>
      </c>
      <c r="M16" s="13" t="s">
        <v>70</v>
      </c>
      <c r="N16" s="17" t="s">
        <v>63</v>
      </c>
      <c r="O16" s="13" t="s">
        <v>70</v>
      </c>
      <c r="P16" s="19" t="s">
        <v>63</v>
      </c>
      <c r="Q16" s="10" t="s">
        <v>71</v>
      </c>
      <c r="R16" s="20" t="s">
        <v>63</v>
      </c>
      <c r="S16" s="13" t="s">
        <v>70</v>
      </c>
      <c r="T16" s="19" t="s">
        <v>63</v>
      </c>
      <c r="U16" s="13" t="s">
        <v>70</v>
      </c>
      <c r="V16" s="19" t="s">
        <v>63</v>
      </c>
      <c r="W16" s="10" t="s">
        <v>71</v>
      </c>
      <c r="X16" s="20" t="s">
        <v>63</v>
      </c>
      <c r="Y16" s="13" t="s">
        <v>70</v>
      </c>
    </row>
    <row r="17" spans="2:25" ht="186.75" customHeight="1" x14ac:dyDescent="0.35">
      <c r="B17" s="5">
        <v>9</v>
      </c>
      <c r="C17" s="79" t="s">
        <v>72</v>
      </c>
      <c r="D17" s="73"/>
      <c r="E17" s="6" t="s">
        <v>19</v>
      </c>
      <c r="F17" s="21" t="s">
        <v>73</v>
      </c>
      <c r="G17" s="6" t="s">
        <v>19</v>
      </c>
      <c r="I17" s="21" t="s">
        <v>74</v>
      </c>
      <c r="J17" s="6" t="s">
        <v>19</v>
      </c>
      <c r="K17" s="21" t="s">
        <v>75</v>
      </c>
      <c r="L17" s="6" t="s">
        <v>19</v>
      </c>
      <c r="M17" s="21" t="s">
        <v>76</v>
      </c>
      <c r="N17" s="6" t="s">
        <v>19</v>
      </c>
      <c r="O17" s="18" t="s">
        <v>77</v>
      </c>
      <c r="P17" s="9" t="s">
        <v>19</v>
      </c>
      <c r="Q17" s="10" t="s">
        <v>78</v>
      </c>
      <c r="R17" s="11" t="s">
        <v>19</v>
      </c>
      <c r="S17" s="21" t="s">
        <v>79</v>
      </c>
      <c r="T17" s="9" t="s">
        <v>19</v>
      </c>
      <c r="U17" s="21" t="s">
        <v>80</v>
      </c>
      <c r="V17" s="9" t="s">
        <v>19</v>
      </c>
      <c r="W17" s="10" t="s">
        <v>81</v>
      </c>
      <c r="X17" s="11" t="s">
        <v>19</v>
      </c>
      <c r="Y17" s="21" t="s">
        <v>82</v>
      </c>
    </row>
    <row r="18" spans="2:25" ht="188.25" customHeight="1" x14ac:dyDescent="0.35">
      <c r="B18" s="5">
        <v>10</v>
      </c>
      <c r="C18" s="78" t="s">
        <v>83</v>
      </c>
      <c r="D18" s="73"/>
      <c r="E18" s="6" t="s">
        <v>19</v>
      </c>
      <c r="F18" s="13" t="s">
        <v>84</v>
      </c>
      <c r="G18" s="6" t="s">
        <v>19</v>
      </c>
      <c r="I18" s="14" t="s">
        <v>85</v>
      </c>
      <c r="J18" s="6" t="s">
        <v>19</v>
      </c>
      <c r="K18" s="14" t="s">
        <v>86</v>
      </c>
      <c r="L18" s="6" t="s">
        <v>19</v>
      </c>
      <c r="M18" s="13" t="s">
        <v>84</v>
      </c>
      <c r="N18" s="6" t="s">
        <v>19</v>
      </c>
      <c r="O18" s="16" t="s">
        <v>87</v>
      </c>
      <c r="P18" s="9" t="s">
        <v>19</v>
      </c>
      <c r="Q18" s="10" t="s">
        <v>88</v>
      </c>
      <c r="R18" s="11" t="s">
        <v>19</v>
      </c>
      <c r="S18" s="13" t="s">
        <v>84</v>
      </c>
      <c r="T18" s="9" t="s">
        <v>19</v>
      </c>
      <c r="U18" s="13" t="s">
        <v>89</v>
      </c>
      <c r="V18" s="9" t="s">
        <v>19</v>
      </c>
      <c r="W18" s="10" t="s">
        <v>88</v>
      </c>
      <c r="X18" s="11" t="s">
        <v>19</v>
      </c>
      <c r="Y18" s="13" t="s">
        <v>84</v>
      </c>
    </row>
    <row r="19" spans="2:25" ht="140.25" customHeight="1" x14ac:dyDescent="0.35">
      <c r="B19" s="5">
        <v>11</v>
      </c>
      <c r="C19" s="78" t="s">
        <v>90</v>
      </c>
      <c r="D19" s="73"/>
      <c r="E19" s="22" t="s">
        <v>63</v>
      </c>
      <c r="F19" s="13" t="s">
        <v>91</v>
      </c>
      <c r="G19" s="22" t="s">
        <v>63</v>
      </c>
      <c r="I19" s="13" t="s">
        <v>92</v>
      </c>
      <c r="J19" s="22" t="s">
        <v>63</v>
      </c>
      <c r="K19" s="13" t="s">
        <v>93</v>
      </c>
      <c r="L19" s="22" t="s">
        <v>63</v>
      </c>
      <c r="M19" s="13" t="s">
        <v>91</v>
      </c>
      <c r="N19" s="22" t="s">
        <v>63</v>
      </c>
      <c r="O19" s="13" t="s">
        <v>91</v>
      </c>
      <c r="P19" s="19" t="s">
        <v>63</v>
      </c>
      <c r="Q19" s="10" t="s">
        <v>94</v>
      </c>
      <c r="R19" s="20" t="s">
        <v>63</v>
      </c>
      <c r="S19" s="13" t="s">
        <v>91</v>
      </c>
      <c r="T19" s="19" t="s">
        <v>63</v>
      </c>
      <c r="U19" s="13" t="s">
        <v>95</v>
      </c>
      <c r="V19" s="19" t="s">
        <v>63</v>
      </c>
      <c r="W19" s="10" t="s">
        <v>94</v>
      </c>
      <c r="X19" s="20" t="s">
        <v>63</v>
      </c>
      <c r="Y19" s="13" t="s">
        <v>91</v>
      </c>
    </row>
    <row r="20" spans="2:25" ht="14.25" customHeight="1" x14ac:dyDescent="0.25">
      <c r="C20" s="1"/>
    </row>
    <row r="21" spans="2:25" ht="14.25" customHeight="1" x14ac:dyDescent="0.25">
      <c r="C21" s="1"/>
    </row>
    <row r="22" spans="2:25" ht="14.25" customHeight="1" x14ac:dyDescent="0.25">
      <c r="C22" s="1"/>
    </row>
    <row r="23" spans="2:25" ht="14.25" customHeight="1" x14ac:dyDescent="0.25">
      <c r="C23" s="1"/>
    </row>
    <row r="24" spans="2:25" ht="14.25" customHeight="1" x14ac:dyDescent="0.25">
      <c r="C24" s="1"/>
    </row>
    <row r="25" spans="2:25" ht="14.25" customHeight="1" x14ac:dyDescent="0.25">
      <c r="C25" s="1"/>
    </row>
    <row r="26" spans="2:25" ht="14.25" customHeight="1" x14ac:dyDescent="0.25">
      <c r="C26" s="1"/>
    </row>
    <row r="27" spans="2:25" ht="14.25" customHeight="1" x14ac:dyDescent="0.25">
      <c r="C27" s="1"/>
    </row>
    <row r="28" spans="2:25" ht="14.25" customHeight="1" x14ac:dyDescent="0.25">
      <c r="C28" s="1"/>
    </row>
    <row r="29" spans="2:25" ht="14.25" customHeight="1" x14ac:dyDescent="0.25">
      <c r="C29" s="1"/>
    </row>
    <row r="30" spans="2:25" ht="14.25" customHeight="1" x14ac:dyDescent="0.25">
      <c r="C30" s="1"/>
    </row>
    <row r="31" spans="2:25" ht="14.25" customHeight="1" x14ac:dyDescent="0.25">
      <c r="C31" s="1"/>
    </row>
    <row r="32" spans="2:25" ht="14.25" customHeight="1" x14ac:dyDescent="0.25">
      <c r="C32" s="1"/>
    </row>
    <row r="33" spans="3:3" ht="14.25" customHeight="1" x14ac:dyDescent="0.25">
      <c r="C33" s="1"/>
    </row>
    <row r="34" spans="3:3" ht="14.25" customHeight="1" x14ac:dyDescent="0.25">
      <c r="C34" s="1"/>
    </row>
    <row r="35" spans="3:3" ht="14.25" customHeight="1" x14ac:dyDescent="0.25">
      <c r="C35" s="1"/>
    </row>
    <row r="36" spans="3:3" ht="14.25" customHeight="1" x14ac:dyDescent="0.25">
      <c r="C36" s="1"/>
    </row>
    <row r="37" spans="3:3" ht="14.25" customHeight="1" x14ac:dyDescent="0.25">
      <c r="C37" s="1"/>
    </row>
    <row r="38" spans="3:3" ht="14.25" customHeight="1" x14ac:dyDescent="0.25">
      <c r="C38" s="1"/>
    </row>
    <row r="39" spans="3:3" ht="14.25" customHeight="1" x14ac:dyDescent="0.25">
      <c r="C39" s="1"/>
    </row>
    <row r="40" spans="3:3" ht="14.25" customHeight="1" x14ac:dyDescent="0.25">
      <c r="C40" s="1"/>
    </row>
    <row r="41" spans="3:3" ht="14.25" customHeight="1" x14ac:dyDescent="0.25">
      <c r="C41" s="1"/>
    </row>
    <row r="42" spans="3:3" ht="14.25" customHeight="1" x14ac:dyDescent="0.25">
      <c r="C42" s="1"/>
    </row>
    <row r="43" spans="3:3" ht="14.25" customHeight="1" x14ac:dyDescent="0.25">
      <c r="C43" s="1"/>
    </row>
    <row r="44" spans="3:3" ht="14.25" customHeight="1" x14ac:dyDescent="0.25">
      <c r="C44" s="1"/>
    </row>
    <row r="45" spans="3:3" ht="14.25" customHeight="1" x14ac:dyDescent="0.25">
      <c r="C45" s="1"/>
    </row>
    <row r="46" spans="3:3" ht="14.25" customHeight="1" x14ac:dyDescent="0.25">
      <c r="C46" s="1"/>
    </row>
    <row r="47" spans="3:3" ht="14.25" customHeight="1" x14ac:dyDescent="0.25">
      <c r="C47" s="1"/>
    </row>
    <row r="48" spans="3:3" ht="14.25" customHeight="1" x14ac:dyDescent="0.25">
      <c r="C48" s="1"/>
    </row>
    <row r="49" spans="3:3" ht="14.25" customHeight="1" x14ac:dyDescent="0.25">
      <c r="C49" s="1"/>
    </row>
    <row r="50" spans="3:3" ht="14.25" customHeight="1" x14ac:dyDescent="0.25">
      <c r="C50" s="1"/>
    </row>
    <row r="51" spans="3:3" ht="14.25" customHeight="1" x14ac:dyDescent="0.25">
      <c r="C51" s="1"/>
    </row>
    <row r="52" spans="3:3" ht="14.25" customHeight="1" x14ac:dyDescent="0.25">
      <c r="C52" s="1"/>
    </row>
    <row r="53" spans="3:3" ht="14.25" customHeight="1" x14ac:dyDescent="0.25">
      <c r="C53" s="1"/>
    </row>
    <row r="54" spans="3:3" ht="14.25" customHeight="1" x14ac:dyDescent="0.25">
      <c r="C54" s="1"/>
    </row>
    <row r="55" spans="3:3" ht="14.25" customHeight="1" x14ac:dyDescent="0.25">
      <c r="C55" s="1"/>
    </row>
    <row r="56" spans="3:3" ht="14.25" customHeight="1" x14ac:dyDescent="0.25">
      <c r="C56" s="1"/>
    </row>
    <row r="57" spans="3:3" ht="14.25" customHeight="1" x14ac:dyDescent="0.25">
      <c r="C57" s="1"/>
    </row>
    <row r="58" spans="3:3" ht="14.25" customHeight="1" x14ac:dyDescent="0.25">
      <c r="C58" s="1"/>
    </row>
    <row r="59" spans="3:3" ht="14.25" customHeight="1" x14ac:dyDescent="0.25">
      <c r="C59" s="1"/>
    </row>
    <row r="60" spans="3:3" ht="14.25" customHeight="1" x14ac:dyDescent="0.25">
      <c r="C60" s="1"/>
    </row>
    <row r="61" spans="3:3" ht="14.25" customHeight="1" x14ac:dyDescent="0.25">
      <c r="C61" s="1"/>
    </row>
    <row r="62" spans="3:3" ht="14.25" customHeight="1" x14ac:dyDescent="0.25">
      <c r="C62" s="1"/>
    </row>
    <row r="63" spans="3:3" ht="14.25" customHeight="1" x14ac:dyDescent="0.25">
      <c r="C63" s="1"/>
    </row>
    <row r="64" spans="3:3" ht="14.25" customHeight="1" x14ac:dyDescent="0.25">
      <c r="C64" s="1"/>
    </row>
    <row r="65" spans="3:3" ht="14.25" customHeight="1" x14ac:dyDescent="0.25">
      <c r="C65" s="1"/>
    </row>
    <row r="66" spans="3:3" ht="14.25" customHeight="1" x14ac:dyDescent="0.25">
      <c r="C66" s="1"/>
    </row>
    <row r="67" spans="3:3" ht="14.25" customHeight="1" x14ac:dyDescent="0.25">
      <c r="C67" s="1"/>
    </row>
    <row r="68" spans="3:3" ht="14.25" customHeight="1" x14ac:dyDescent="0.25">
      <c r="C68" s="1"/>
    </row>
    <row r="69" spans="3:3" ht="14.25" customHeight="1" x14ac:dyDescent="0.25">
      <c r="C69" s="1"/>
    </row>
    <row r="70" spans="3:3" ht="14.25" customHeight="1" x14ac:dyDescent="0.25">
      <c r="C70" s="1"/>
    </row>
    <row r="71" spans="3:3" ht="14.25" customHeight="1" x14ac:dyDescent="0.25">
      <c r="C71" s="1"/>
    </row>
    <row r="72" spans="3:3" ht="14.25" customHeight="1" x14ac:dyDescent="0.25">
      <c r="C72" s="1"/>
    </row>
    <row r="73" spans="3:3" ht="14.25" customHeight="1" x14ac:dyDescent="0.25">
      <c r="C73" s="1"/>
    </row>
    <row r="74" spans="3:3" ht="14.25" customHeight="1" x14ac:dyDescent="0.25">
      <c r="C74" s="1"/>
    </row>
    <row r="75" spans="3:3" ht="14.25" customHeight="1" x14ac:dyDescent="0.25">
      <c r="C75" s="1"/>
    </row>
    <row r="76" spans="3:3" ht="14.25" customHeight="1" x14ac:dyDescent="0.25">
      <c r="C76" s="1"/>
    </row>
    <row r="77" spans="3:3" ht="14.25" customHeight="1" x14ac:dyDescent="0.25">
      <c r="C77" s="1"/>
    </row>
    <row r="78" spans="3:3" ht="14.25" customHeight="1" x14ac:dyDescent="0.25">
      <c r="C78" s="1"/>
    </row>
    <row r="79" spans="3:3" ht="14.25" customHeight="1" x14ac:dyDescent="0.25">
      <c r="C79" s="1"/>
    </row>
    <row r="80" spans="3:3" ht="14.25" customHeight="1" x14ac:dyDescent="0.25">
      <c r="C80" s="1"/>
    </row>
    <row r="81" spans="3:3" ht="14.25" customHeight="1" x14ac:dyDescent="0.25">
      <c r="C81" s="1"/>
    </row>
    <row r="82" spans="3:3" ht="14.25" customHeight="1" x14ac:dyDescent="0.25">
      <c r="C82" s="1"/>
    </row>
    <row r="83" spans="3:3" ht="14.25" customHeight="1" x14ac:dyDescent="0.25">
      <c r="C83" s="1"/>
    </row>
    <row r="84" spans="3:3" ht="14.25" customHeight="1" x14ac:dyDescent="0.25">
      <c r="C84" s="1"/>
    </row>
    <row r="85" spans="3:3" ht="14.25" customHeight="1" x14ac:dyDescent="0.25">
      <c r="C85" s="1"/>
    </row>
    <row r="86" spans="3:3" ht="14.25" customHeight="1" x14ac:dyDescent="0.25">
      <c r="C86" s="1"/>
    </row>
    <row r="87" spans="3:3" ht="14.25" customHeight="1" x14ac:dyDescent="0.25">
      <c r="C87" s="1"/>
    </row>
    <row r="88" spans="3:3" ht="14.25" customHeight="1" x14ac:dyDescent="0.25">
      <c r="C88" s="1"/>
    </row>
    <row r="89" spans="3:3" ht="14.25" customHeight="1" x14ac:dyDescent="0.25">
      <c r="C89" s="1"/>
    </row>
    <row r="90" spans="3:3" ht="14.25" customHeight="1" x14ac:dyDescent="0.25">
      <c r="C90" s="1"/>
    </row>
    <row r="91" spans="3:3" ht="14.25" customHeight="1" x14ac:dyDescent="0.25">
      <c r="C91" s="1"/>
    </row>
    <row r="92" spans="3:3" ht="14.25" customHeight="1" x14ac:dyDescent="0.25">
      <c r="C92" s="1"/>
    </row>
    <row r="93" spans="3:3" ht="14.25" customHeight="1" x14ac:dyDescent="0.25">
      <c r="C93" s="1"/>
    </row>
    <row r="94" spans="3:3" ht="14.25" customHeight="1" x14ac:dyDescent="0.25">
      <c r="C94" s="1"/>
    </row>
    <row r="95" spans="3:3" ht="14.25" customHeight="1" x14ac:dyDescent="0.25">
      <c r="C95" s="1"/>
    </row>
    <row r="96" spans="3:3" ht="14.25" customHeight="1" x14ac:dyDescent="0.25">
      <c r="C96" s="1"/>
    </row>
    <row r="97" spans="3:3" ht="14.25" customHeight="1" x14ac:dyDescent="0.25">
      <c r="C97" s="1"/>
    </row>
    <row r="98" spans="3:3" ht="14.25" customHeight="1" x14ac:dyDescent="0.25">
      <c r="C98" s="1"/>
    </row>
    <row r="99" spans="3:3" ht="14.25" customHeight="1" x14ac:dyDescent="0.25">
      <c r="C99" s="1"/>
    </row>
    <row r="100" spans="3:3" ht="14.25" customHeight="1" x14ac:dyDescent="0.25">
      <c r="C100" s="1"/>
    </row>
    <row r="101" spans="3:3" ht="14.25" customHeight="1" x14ac:dyDescent="0.25">
      <c r="C101" s="1"/>
    </row>
    <row r="102" spans="3:3" ht="14.25" customHeight="1" x14ac:dyDescent="0.25">
      <c r="C102" s="1"/>
    </row>
    <row r="103" spans="3:3" ht="14.25" customHeight="1" x14ac:dyDescent="0.25">
      <c r="C103" s="1"/>
    </row>
    <row r="104" spans="3:3" ht="14.25" customHeight="1" x14ac:dyDescent="0.25">
      <c r="C104" s="1"/>
    </row>
    <row r="105" spans="3:3" ht="14.25" customHeight="1" x14ac:dyDescent="0.25">
      <c r="C105" s="1"/>
    </row>
    <row r="106" spans="3:3" ht="14.25" customHeight="1" x14ac:dyDescent="0.25">
      <c r="C106" s="1"/>
    </row>
    <row r="107" spans="3:3" ht="14.25" customHeight="1" x14ac:dyDescent="0.25">
      <c r="C107" s="1"/>
    </row>
    <row r="108" spans="3:3" ht="14.25" customHeight="1" x14ac:dyDescent="0.25">
      <c r="C108" s="1"/>
    </row>
    <row r="109" spans="3:3" ht="14.25" customHeight="1" x14ac:dyDescent="0.25">
      <c r="C109" s="1"/>
    </row>
    <row r="110" spans="3:3" ht="14.25" customHeight="1" x14ac:dyDescent="0.25">
      <c r="C110" s="1"/>
    </row>
    <row r="111" spans="3:3" ht="14.25" customHeight="1" x14ac:dyDescent="0.25">
      <c r="C111" s="1"/>
    </row>
    <row r="112" spans="3:3" ht="14.25" customHeight="1" x14ac:dyDescent="0.25">
      <c r="C112" s="1"/>
    </row>
    <row r="113" spans="3:3" ht="14.25" customHeight="1" x14ac:dyDescent="0.25">
      <c r="C113" s="1"/>
    </row>
    <row r="114" spans="3:3" ht="14.25" customHeight="1" x14ac:dyDescent="0.25">
      <c r="C114" s="1"/>
    </row>
    <row r="115" spans="3:3" ht="14.25" customHeight="1" x14ac:dyDescent="0.25">
      <c r="C115" s="1"/>
    </row>
    <row r="116" spans="3:3" ht="14.25" customHeight="1" x14ac:dyDescent="0.25">
      <c r="C116" s="1"/>
    </row>
    <row r="117" spans="3:3" ht="14.25" customHeight="1" x14ac:dyDescent="0.25">
      <c r="C117" s="1"/>
    </row>
    <row r="118" spans="3:3" ht="14.25" customHeight="1" x14ac:dyDescent="0.25">
      <c r="C118" s="1"/>
    </row>
    <row r="119" spans="3:3" ht="14.25" customHeight="1" x14ac:dyDescent="0.25">
      <c r="C119" s="1"/>
    </row>
    <row r="120" spans="3:3" ht="14.25" customHeight="1" x14ac:dyDescent="0.25">
      <c r="C120" s="1"/>
    </row>
    <row r="121" spans="3:3" ht="14.25" customHeight="1" x14ac:dyDescent="0.25">
      <c r="C121" s="1"/>
    </row>
    <row r="122" spans="3:3" ht="14.25" customHeight="1" x14ac:dyDescent="0.25">
      <c r="C122" s="1"/>
    </row>
    <row r="123" spans="3:3" ht="14.25" customHeight="1" x14ac:dyDescent="0.25">
      <c r="C123" s="1"/>
    </row>
    <row r="124" spans="3:3" ht="14.25" customHeight="1" x14ac:dyDescent="0.25">
      <c r="C124" s="1"/>
    </row>
    <row r="125" spans="3:3" ht="14.25" customHeight="1" x14ac:dyDescent="0.25">
      <c r="C125" s="1"/>
    </row>
    <row r="126" spans="3:3" ht="14.25" customHeight="1" x14ac:dyDescent="0.25">
      <c r="C126" s="1"/>
    </row>
    <row r="127" spans="3:3" ht="14.25" customHeight="1" x14ac:dyDescent="0.25">
      <c r="C127" s="1"/>
    </row>
    <row r="128" spans="3:3" ht="14.25" customHeight="1" x14ac:dyDescent="0.25">
      <c r="C128" s="1"/>
    </row>
    <row r="129" spans="3:3" ht="14.25" customHeight="1" x14ac:dyDescent="0.25">
      <c r="C129" s="1"/>
    </row>
    <row r="130" spans="3:3" ht="14.25" customHeight="1" x14ac:dyDescent="0.25">
      <c r="C130" s="1"/>
    </row>
    <row r="131" spans="3:3" ht="14.25" customHeight="1" x14ac:dyDescent="0.25">
      <c r="C131" s="1"/>
    </row>
    <row r="132" spans="3:3" ht="14.25" customHeight="1" x14ac:dyDescent="0.25">
      <c r="C132" s="1"/>
    </row>
    <row r="133" spans="3:3" ht="14.25" customHeight="1" x14ac:dyDescent="0.25">
      <c r="C133" s="1"/>
    </row>
    <row r="134" spans="3:3" ht="14.25" customHeight="1" x14ac:dyDescent="0.25">
      <c r="C134" s="1"/>
    </row>
    <row r="135" spans="3:3" ht="14.25" customHeight="1" x14ac:dyDescent="0.25">
      <c r="C135" s="1"/>
    </row>
    <row r="136" spans="3:3" ht="14.25" customHeight="1" x14ac:dyDescent="0.25">
      <c r="C136" s="1"/>
    </row>
    <row r="137" spans="3:3" ht="14.25" customHeight="1" x14ac:dyDescent="0.25">
      <c r="C137" s="1"/>
    </row>
    <row r="138" spans="3:3" ht="14.25" customHeight="1" x14ac:dyDescent="0.25">
      <c r="C138" s="1"/>
    </row>
    <row r="139" spans="3:3" ht="14.25" customHeight="1" x14ac:dyDescent="0.25">
      <c r="C139" s="1"/>
    </row>
    <row r="140" spans="3:3" ht="14.25" customHeight="1" x14ac:dyDescent="0.25">
      <c r="C140" s="1"/>
    </row>
    <row r="141" spans="3:3" ht="14.25" customHeight="1" x14ac:dyDescent="0.25">
      <c r="C141" s="1"/>
    </row>
    <row r="142" spans="3:3" ht="14.25" customHeight="1" x14ac:dyDescent="0.25">
      <c r="C142" s="1"/>
    </row>
    <row r="143" spans="3:3" ht="14.25" customHeight="1" x14ac:dyDescent="0.25">
      <c r="C143" s="1"/>
    </row>
    <row r="144" spans="3:3" ht="14.25" customHeight="1" x14ac:dyDescent="0.25">
      <c r="C144" s="1"/>
    </row>
    <row r="145" spans="3:3" ht="14.25" customHeight="1" x14ac:dyDescent="0.25">
      <c r="C145" s="1"/>
    </row>
    <row r="146" spans="3:3" ht="14.25" customHeight="1" x14ac:dyDescent="0.25">
      <c r="C146" s="1"/>
    </row>
    <row r="147" spans="3:3" ht="14.25" customHeight="1" x14ac:dyDescent="0.25">
      <c r="C147" s="1"/>
    </row>
    <row r="148" spans="3:3" ht="14.25" customHeight="1" x14ac:dyDescent="0.25">
      <c r="C148" s="1"/>
    </row>
    <row r="149" spans="3:3" ht="14.25" customHeight="1" x14ac:dyDescent="0.25">
      <c r="C149" s="1"/>
    </row>
    <row r="150" spans="3:3" ht="14.25" customHeight="1" x14ac:dyDescent="0.25">
      <c r="C150" s="1"/>
    </row>
    <row r="151" spans="3:3" ht="14.25" customHeight="1" x14ac:dyDescent="0.25">
      <c r="C151" s="1"/>
    </row>
    <row r="152" spans="3:3" ht="14.25" customHeight="1" x14ac:dyDescent="0.25">
      <c r="C152" s="1"/>
    </row>
    <row r="153" spans="3:3" ht="14.25" customHeight="1" x14ac:dyDescent="0.25">
      <c r="C153" s="1"/>
    </row>
    <row r="154" spans="3:3" ht="14.25" customHeight="1" x14ac:dyDescent="0.25">
      <c r="C154" s="1"/>
    </row>
    <row r="155" spans="3:3" ht="14.25" customHeight="1" x14ac:dyDescent="0.25">
      <c r="C155" s="1"/>
    </row>
    <row r="156" spans="3:3" ht="14.25" customHeight="1" x14ac:dyDescent="0.25">
      <c r="C156" s="1"/>
    </row>
    <row r="157" spans="3:3" ht="14.25" customHeight="1" x14ac:dyDescent="0.25">
      <c r="C157" s="1"/>
    </row>
    <row r="158" spans="3:3" ht="14.25" customHeight="1" x14ac:dyDescent="0.25">
      <c r="C158" s="1"/>
    </row>
    <row r="159" spans="3:3" ht="14.25" customHeight="1" x14ac:dyDescent="0.25">
      <c r="C159" s="1"/>
    </row>
    <row r="160" spans="3:3" ht="14.25" customHeight="1" x14ac:dyDescent="0.25">
      <c r="C160" s="1"/>
    </row>
    <row r="161" spans="3:3" ht="14.25" customHeight="1" x14ac:dyDescent="0.25">
      <c r="C161" s="1"/>
    </row>
    <row r="162" spans="3:3" ht="14.25" customHeight="1" x14ac:dyDescent="0.25">
      <c r="C162" s="1"/>
    </row>
    <row r="163" spans="3:3" ht="14.25" customHeight="1" x14ac:dyDescent="0.25">
      <c r="C163" s="1"/>
    </row>
    <row r="164" spans="3:3" ht="14.25" customHeight="1" x14ac:dyDescent="0.25">
      <c r="C164" s="1"/>
    </row>
    <row r="165" spans="3:3" ht="14.25" customHeight="1" x14ac:dyDescent="0.25">
      <c r="C165" s="1"/>
    </row>
    <row r="166" spans="3:3" ht="14.25" customHeight="1" x14ac:dyDescent="0.25">
      <c r="C166" s="1"/>
    </row>
    <row r="167" spans="3:3" ht="14.25" customHeight="1" x14ac:dyDescent="0.25">
      <c r="C167" s="1"/>
    </row>
    <row r="168" spans="3:3" ht="14.25" customHeight="1" x14ac:dyDescent="0.25">
      <c r="C168" s="1"/>
    </row>
    <row r="169" spans="3:3" ht="14.25" customHeight="1" x14ac:dyDescent="0.25">
      <c r="C169" s="1"/>
    </row>
    <row r="170" spans="3:3" ht="14.25" customHeight="1" x14ac:dyDescent="0.25">
      <c r="C170" s="1"/>
    </row>
    <row r="171" spans="3:3" ht="14.25" customHeight="1" x14ac:dyDescent="0.25">
      <c r="C171" s="1"/>
    </row>
    <row r="172" spans="3:3" ht="14.25" customHeight="1" x14ac:dyDescent="0.25">
      <c r="C172" s="1"/>
    </row>
    <row r="173" spans="3:3" ht="14.25" customHeight="1" x14ac:dyDescent="0.25">
      <c r="C173" s="1"/>
    </row>
    <row r="174" spans="3:3" ht="14.25" customHeight="1" x14ac:dyDescent="0.25">
      <c r="C174" s="1"/>
    </row>
    <row r="175" spans="3:3" ht="14.25" customHeight="1" x14ac:dyDescent="0.25">
      <c r="C175" s="1"/>
    </row>
    <row r="176" spans="3:3" ht="14.25" customHeight="1" x14ac:dyDescent="0.25">
      <c r="C176" s="1"/>
    </row>
    <row r="177" spans="3:3" ht="14.25" customHeight="1" x14ac:dyDescent="0.25">
      <c r="C177" s="1"/>
    </row>
    <row r="178" spans="3:3" ht="14.25" customHeight="1" x14ac:dyDescent="0.25">
      <c r="C178" s="1"/>
    </row>
    <row r="179" spans="3:3" ht="14.25" customHeight="1" x14ac:dyDescent="0.25">
      <c r="C179" s="1"/>
    </row>
    <row r="180" spans="3:3" ht="14.25" customHeight="1" x14ac:dyDescent="0.25">
      <c r="C180" s="1"/>
    </row>
    <row r="181" spans="3:3" ht="14.25" customHeight="1" x14ac:dyDescent="0.25">
      <c r="C181" s="1"/>
    </row>
    <row r="182" spans="3:3" ht="14.25" customHeight="1" x14ac:dyDescent="0.25">
      <c r="C182" s="1"/>
    </row>
    <row r="183" spans="3:3" ht="14.25" customHeight="1" x14ac:dyDescent="0.25">
      <c r="C183" s="1"/>
    </row>
    <row r="184" spans="3:3" ht="14.25" customHeight="1" x14ac:dyDescent="0.25">
      <c r="C184" s="1"/>
    </row>
    <row r="185" spans="3:3" ht="14.25" customHeight="1" x14ac:dyDescent="0.25">
      <c r="C185" s="1"/>
    </row>
    <row r="186" spans="3:3" ht="14.25" customHeight="1" x14ac:dyDescent="0.25">
      <c r="C186" s="1"/>
    </row>
    <row r="187" spans="3:3" ht="14.25" customHeight="1" x14ac:dyDescent="0.25">
      <c r="C187" s="1"/>
    </row>
    <row r="188" spans="3:3" ht="14.25" customHeight="1" x14ac:dyDescent="0.25">
      <c r="C188" s="1"/>
    </row>
    <row r="189" spans="3:3" ht="14.25" customHeight="1" x14ac:dyDescent="0.25">
      <c r="C189" s="1"/>
    </row>
    <row r="190" spans="3:3" ht="14.25" customHeight="1" x14ac:dyDescent="0.25">
      <c r="C190" s="1"/>
    </row>
    <row r="191" spans="3:3" ht="14.25" customHeight="1" x14ac:dyDescent="0.25">
      <c r="C191" s="1"/>
    </row>
    <row r="192" spans="3:3" ht="14.25" customHeight="1" x14ac:dyDescent="0.25">
      <c r="C192" s="1"/>
    </row>
    <row r="193" spans="3:3" ht="14.25" customHeight="1" x14ac:dyDescent="0.25">
      <c r="C193" s="1"/>
    </row>
    <row r="194" spans="3:3" ht="14.25" customHeight="1" x14ac:dyDescent="0.25">
      <c r="C194" s="1"/>
    </row>
    <row r="195" spans="3:3" ht="14.25" customHeight="1" x14ac:dyDescent="0.25">
      <c r="C195" s="1"/>
    </row>
    <row r="196" spans="3:3" ht="14.25" customHeight="1" x14ac:dyDescent="0.25">
      <c r="C196" s="1"/>
    </row>
    <row r="197" spans="3:3" ht="14.25" customHeight="1" x14ac:dyDescent="0.25">
      <c r="C197" s="1"/>
    </row>
    <row r="198" spans="3:3" ht="14.25" customHeight="1" x14ac:dyDescent="0.25">
      <c r="C198" s="1"/>
    </row>
    <row r="199" spans="3:3" ht="14.25" customHeight="1" x14ac:dyDescent="0.25">
      <c r="C199" s="1"/>
    </row>
    <row r="200" spans="3:3" ht="14.25" customHeight="1" x14ac:dyDescent="0.25">
      <c r="C200" s="1"/>
    </row>
    <row r="201" spans="3:3" ht="14.25" customHeight="1" x14ac:dyDescent="0.25">
      <c r="C201" s="1"/>
    </row>
    <row r="202" spans="3:3" ht="14.25" customHeight="1" x14ac:dyDescent="0.25">
      <c r="C202" s="1"/>
    </row>
    <row r="203" spans="3:3" ht="14.25" customHeight="1" x14ac:dyDescent="0.25">
      <c r="C203" s="1"/>
    </row>
    <row r="204" spans="3:3" ht="14.25" customHeight="1" x14ac:dyDescent="0.25">
      <c r="C204" s="1"/>
    </row>
    <row r="205" spans="3:3" ht="14.25" customHeight="1" x14ac:dyDescent="0.25">
      <c r="C205" s="1"/>
    </row>
    <row r="206" spans="3:3" ht="14.25" customHeight="1" x14ac:dyDescent="0.25">
      <c r="C206" s="1"/>
    </row>
    <row r="207" spans="3:3" ht="14.25" customHeight="1" x14ac:dyDescent="0.25">
      <c r="C207" s="1"/>
    </row>
    <row r="208" spans="3:3" ht="14.25" customHeight="1" x14ac:dyDescent="0.25">
      <c r="C208" s="1"/>
    </row>
    <row r="209" spans="3:3" ht="14.25" customHeight="1" x14ac:dyDescent="0.25">
      <c r="C209" s="1"/>
    </row>
    <row r="210" spans="3:3" ht="14.25" customHeight="1" x14ac:dyDescent="0.25">
      <c r="C210" s="1"/>
    </row>
    <row r="211" spans="3:3" ht="14.25" customHeight="1" x14ac:dyDescent="0.25">
      <c r="C211" s="1"/>
    </row>
    <row r="212" spans="3:3" ht="14.25" customHeight="1" x14ac:dyDescent="0.25">
      <c r="C212" s="1"/>
    </row>
    <row r="213" spans="3:3" ht="14.25" customHeight="1" x14ac:dyDescent="0.25">
      <c r="C213" s="1"/>
    </row>
    <row r="214" spans="3:3" ht="14.25" customHeight="1" x14ac:dyDescent="0.25">
      <c r="C214" s="1"/>
    </row>
    <row r="215" spans="3:3" ht="14.25" customHeight="1" x14ac:dyDescent="0.25">
      <c r="C215" s="1"/>
    </row>
    <row r="216" spans="3:3" ht="14.25" customHeight="1" x14ac:dyDescent="0.25">
      <c r="C216" s="1"/>
    </row>
    <row r="217" spans="3:3" ht="14.25" customHeight="1" x14ac:dyDescent="0.25">
      <c r="C217" s="1"/>
    </row>
    <row r="218" spans="3:3" ht="14.25" customHeight="1" x14ac:dyDescent="0.25">
      <c r="C218" s="1"/>
    </row>
    <row r="219" spans="3:3" ht="14.25" customHeight="1" x14ac:dyDescent="0.25">
      <c r="C219" s="1"/>
    </row>
    <row r="220" spans="3:3" ht="14.25" customHeight="1" x14ac:dyDescent="0.25">
      <c r="C220" s="1"/>
    </row>
    <row r="221" spans="3:3" ht="15.75" customHeight="1" x14ac:dyDescent="0.25"/>
    <row r="222" spans="3:3" ht="15.75" customHeight="1" x14ac:dyDescent="0.25"/>
    <row r="223" spans="3:3" ht="15.75" customHeight="1" x14ac:dyDescent="0.25"/>
    <row r="224" spans="3:3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6">
    <mergeCell ref="C16:D16"/>
    <mergeCell ref="C17:D17"/>
    <mergeCell ref="C18:D18"/>
    <mergeCell ref="C19:D19"/>
    <mergeCell ref="C9:D9"/>
    <mergeCell ref="C10:D10"/>
    <mergeCell ref="C11:D11"/>
    <mergeCell ref="C12:D12"/>
    <mergeCell ref="C13:D13"/>
    <mergeCell ref="C14:D14"/>
    <mergeCell ref="C15:D15"/>
    <mergeCell ref="C3:K4"/>
    <mergeCell ref="E5:K5"/>
    <mergeCell ref="F6:K6"/>
    <mergeCell ref="B7:B8"/>
    <mergeCell ref="C7:D8"/>
    <mergeCell ref="E7:E8"/>
    <mergeCell ref="F7:F8"/>
    <mergeCell ref="Y7:Y8"/>
    <mergeCell ref="Q7:Q8"/>
    <mergeCell ref="R7:R8"/>
    <mergeCell ref="S7:S8"/>
    <mergeCell ref="T7:T8"/>
    <mergeCell ref="U7:U8"/>
    <mergeCell ref="V7:V8"/>
    <mergeCell ref="W7:W8"/>
    <mergeCell ref="M7:M8"/>
    <mergeCell ref="N7:N8"/>
    <mergeCell ref="O7:O8"/>
    <mergeCell ref="P7:P8"/>
    <mergeCell ref="X7:X8"/>
    <mergeCell ref="G7:G8"/>
    <mergeCell ref="I7:I8"/>
    <mergeCell ref="J7:J8"/>
    <mergeCell ref="K7:K8"/>
    <mergeCell ref="L7:L8"/>
  </mergeCells>
  <printOptions horizontalCentered="1" verticalCentered="1"/>
  <pageMargins left="0.47" right="0.70866141732283472" top="0.74803149606299213" bottom="0.74803149606299213" header="0" footer="0"/>
  <pageSetup paperSize="9" scale="41" orientation="landscape" r:id="rId1"/>
  <headerFooter>
    <oddFooter>&amp;LElaborado por: Ing Jenny A Ruiz R, Mónica  Gómez Docentes TC del Departamento de Ciencias de la  Computación IREB PROYECTO DE CHECK LIST  (CASO DE ESTUDIO ACADÉMICO)&amp;C&amp;P de &amp;R&amp;D</oddFooter>
  </headerFooter>
  <colBreaks count="1" manualBreakCount="1">
    <brk id="13" max="1048575" man="1"/>
  </colBreak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view="pageBreakPreview" zoomScale="60" zoomScaleNormal="70" workbookViewId="0"/>
  </sheetViews>
  <sheetFormatPr baseColWidth="10" defaultColWidth="14.42578125" defaultRowHeight="15" customHeight="1" x14ac:dyDescent="0.25"/>
  <cols>
    <col min="1" max="1" width="10.7109375" customWidth="1"/>
    <col min="2" max="2" width="34.5703125" customWidth="1"/>
    <col min="3" max="3" width="16.140625" customWidth="1"/>
    <col min="4" max="4" width="24.28515625" customWidth="1"/>
    <col min="5" max="24" width="10.7109375" customWidth="1"/>
  </cols>
  <sheetData>
    <row r="1" spans="1:26" ht="51" customHeight="1" x14ac:dyDescent="0.25">
      <c r="A1" s="23"/>
      <c r="B1" s="24" t="s">
        <v>1</v>
      </c>
      <c r="C1" s="83" t="s">
        <v>2</v>
      </c>
      <c r="D1" s="69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</row>
    <row r="2" spans="1:26" ht="14.25" customHeight="1" x14ac:dyDescent="0.3">
      <c r="B2" s="25" t="s">
        <v>96</v>
      </c>
      <c r="C2" s="84">
        <v>46296</v>
      </c>
      <c r="D2" s="69"/>
    </row>
    <row r="3" spans="1:26" ht="14.25" customHeight="1" x14ac:dyDescent="0.3">
      <c r="B3" s="25" t="s">
        <v>97</v>
      </c>
      <c r="C3" s="85" t="s">
        <v>105</v>
      </c>
      <c r="D3" s="69"/>
    </row>
    <row r="4" spans="1:26" ht="14.25" customHeight="1" x14ac:dyDescent="0.3">
      <c r="B4" s="25" t="s">
        <v>100</v>
      </c>
      <c r="C4" s="85" t="s">
        <v>7</v>
      </c>
      <c r="D4" s="69"/>
    </row>
    <row r="5" spans="1:26" ht="14.25" customHeight="1" x14ac:dyDescent="0.25"/>
    <row r="6" spans="1:26" ht="80.25" customHeight="1" x14ac:dyDescent="0.25">
      <c r="A6" s="81" t="s">
        <v>103</v>
      </c>
      <c r="B6" s="69"/>
      <c r="C6" s="69"/>
      <c r="D6" s="69"/>
    </row>
    <row r="7" spans="1:26" ht="20.25" customHeight="1" x14ac:dyDescent="0.25">
      <c r="A7" s="26" t="s">
        <v>104</v>
      </c>
      <c r="B7" s="27" t="s">
        <v>106</v>
      </c>
      <c r="C7" s="27" t="s">
        <v>107</v>
      </c>
      <c r="D7" s="28" t="s">
        <v>108</v>
      </c>
    </row>
    <row r="8" spans="1:26" ht="28.5" customHeight="1" x14ac:dyDescent="0.25">
      <c r="A8" s="29">
        <v>1</v>
      </c>
      <c r="B8" s="30" t="s">
        <v>109</v>
      </c>
      <c r="C8" s="31" t="s">
        <v>110</v>
      </c>
      <c r="D8" s="32"/>
    </row>
    <row r="9" spans="1:26" ht="33.75" customHeight="1" x14ac:dyDescent="0.25">
      <c r="A9" s="29">
        <v>2</v>
      </c>
      <c r="B9" s="30" t="s">
        <v>111</v>
      </c>
      <c r="C9" s="31"/>
      <c r="D9" s="33" t="s">
        <v>110</v>
      </c>
    </row>
    <row r="10" spans="1:26" ht="74.25" customHeight="1" x14ac:dyDescent="0.25">
      <c r="A10" s="29">
        <v>3</v>
      </c>
      <c r="B10" s="30" t="s">
        <v>112</v>
      </c>
      <c r="C10" s="31" t="s">
        <v>110</v>
      </c>
      <c r="D10" s="32"/>
    </row>
    <row r="11" spans="1:26" ht="52.5" customHeight="1" x14ac:dyDescent="0.25">
      <c r="A11" s="29">
        <v>4</v>
      </c>
      <c r="B11" s="30" t="s">
        <v>113</v>
      </c>
      <c r="C11" s="31" t="s">
        <v>110</v>
      </c>
      <c r="D11" s="32"/>
    </row>
    <row r="12" spans="1:26" ht="40.5" customHeight="1" x14ac:dyDescent="0.25">
      <c r="A12" s="29">
        <v>5</v>
      </c>
      <c r="B12" s="30" t="s">
        <v>114</v>
      </c>
      <c r="C12" s="31" t="s">
        <v>110</v>
      </c>
      <c r="D12" s="32"/>
    </row>
    <row r="13" spans="1:26" ht="41.25" customHeight="1" x14ac:dyDescent="0.25">
      <c r="A13" s="29">
        <v>6</v>
      </c>
      <c r="B13" s="30" t="s">
        <v>115</v>
      </c>
      <c r="C13" s="31" t="s">
        <v>110</v>
      </c>
      <c r="D13" s="32"/>
    </row>
    <row r="14" spans="1:26" ht="39" customHeight="1" x14ac:dyDescent="0.25">
      <c r="A14" s="29">
        <v>7</v>
      </c>
      <c r="B14" s="30" t="s">
        <v>116</v>
      </c>
      <c r="C14" s="31" t="s">
        <v>110</v>
      </c>
      <c r="D14" s="32"/>
    </row>
    <row r="15" spans="1:26" ht="45.75" customHeight="1" x14ac:dyDescent="0.25">
      <c r="A15" s="29">
        <v>8</v>
      </c>
      <c r="B15" s="30" t="s">
        <v>117</v>
      </c>
      <c r="C15" s="31" t="s">
        <v>110</v>
      </c>
      <c r="D15" s="32"/>
    </row>
    <row r="16" spans="1:26" ht="77.25" customHeight="1" x14ac:dyDescent="0.25">
      <c r="A16" s="34">
        <v>9</v>
      </c>
      <c r="B16" s="35" t="s">
        <v>118</v>
      </c>
      <c r="C16" s="36"/>
      <c r="D16" s="36" t="s">
        <v>110</v>
      </c>
    </row>
    <row r="17" spans="1:4" ht="14.25" customHeight="1" x14ac:dyDescent="0.25">
      <c r="A17" s="80" t="s">
        <v>119</v>
      </c>
      <c r="B17" s="69"/>
      <c r="C17" s="38">
        <f>COUNTA('MODELO LISTA DE COMPROBACION - '!$C$8:$C$16)</f>
        <v>7</v>
      </c>
      <c r="D17" s="38">
        <f>COUNTA('MODELO LISTA DE COMPROBACION - '!$D$8:$D$16)</f>
        <v>2</v>
      </c>
    </row>
    <row r="18" spans="1:4" ht="14.25" customHeight="1" x14ac:dyDescent="0.25">
      <c r="A18" s="80" t="s">
        <v>120</v>
      </c>
      <c r="B18" s="69"/>
      <c r="C18" s="39">
        <f t="shared" ref="C18:D18" si="0">C17/9</f>
        <v>0.77777777777777779</v>
      </c>
      <c r="D18" s="39">
        <f t="shared" si="0"/>
        <v>0.22222222222222221</v>
      </c>
    </row>
    <row r="19" spans="1:4" ht="14.25" customHeight="1" x14ac:dyDescent="0.25">
      <c r="A19" s="37"/>
      <c r="B19" s="37"/>
      <c r="C19" s="39"/>
      <c r="D19" s="38"/>
    </row>
    <row r="20" spans="1:4" ht="51" customHeight="1" x14ac:dyDescent="0.25">
      <c r="A20" s="86" t="s">
        <v>121</v>
      </c>
      <c r="B20" s="87"/>
      <c r="C20" s="87"/>
      <c r="D20" s="87"/>
    </row>
    <row r="21" spans="1:4" ht="35.25" customHeight="1" x14ac:dyDescent="0.25">
      <c r="A21" s="40" t="s">
        <v>104</v>
      </c>
      <c r="B21" s="41" t="s">
        <v>106</v>
      </c>
      <c r="C21" s="42" t="s">
        <v>107</v>
      </c>
      <c r="D21" s="43" t="s">
        <v>108</v>
      </c>
    </row>
    <row r="22" spans="1:4" ht="44.25" customHeight="1" x14ac:dyDescent="0.25">
      <c r="A22" s="29">
        <v>1</v>
      </c>
      <c r="B22" s="30" t="s">
        <v>122</v>
      </c>
      <c r="C22" s="36" t="s">
        <v>110</v>
      </c>
      <c r="D22" s="32"/>
    </row>
    <row r="23" spans="1:4" ht="48.75" customHeight="1" x14ac:dyDescent="0.25">
      <c r="A23" s="29">
        <v>2</v>
      </c>
      <c r="B23" s="30" t="s">
        <v>123</v>
      </c>
      <c r="C23" s="36" t="s">
        <v>110</v>
      </c>
      <c r="D23" s="32"/>
    </row>
    <row r="24" spans="1:4" ht="51" customHeight="1" x14ac:dyDescent="0.25">
      <c r="A24" s="29">
        <v>3</v>
      </c>
      <c r="B24" s="30" t="s">
        <v>124</v>
      </c>
      <c r="C24" s="36"/>
      <c r="D24" s="33" t="s">
        <v>110</v>
      </c>
    </row>
    <row r="25" spans="1:4" ht="55.5" customHeight="1" x14ac:dyDescent="0.25">
      <c r="A25" s="29">
        <v>4</v>
      </c>
      <c r="B25" s="30" t="s">
        <v>125</v>
      </c>
      <c r="C25" s="36" t="s">
        <v>110</v>
      </c>
      <c r="D25" s="32"/>
    </row>
    <row r="26" spans="1:4" ht="63" customHeight="1" x14ac:dyDescent="0.25">
      <c r="A26" s="34">
        <v>5</v>
      </c>
      <c r="B26" s="35" t="s">
        <v>126</v>
      </c>
      <c r="C26" s="36" t="s">
        <v>110</v>
      </c>
      <c r="D26" s="45"/>
    </row>
    <row r="27" spans="1:4" ht="14.25" customHeight="1" x14ac:dyDescent="0.25">
      <c r="A27" s="80" t="s">
        <v>119</v>
      </c>
      <c r="B27" s="69"/>
      <c r="C27" s="38">
        <f>COUNTA('MODELO LISTA DE COMPROBACION - '!$C$22:$C$26)</f>
        <v>4</v>
      </c>
      <c r="D27" s="38">
        <f>COUNTA('MODELO LISTA DE COMPROBACION - '!$D$22:$D$26)</f>
        <v>1</v>
      </c>
    </row>
    <row r="28" spans="1:4" ht="14.25" customHeight="1" x14ac:dyDescent="0.25">
      <c r="A28" s="80" t="s">
        <v>120</v>
      </c>
      <c r="B28" s="69"/>
      <c r="C28" s="39">
        <f t="shared" ref="C28:D28" si="1">C27/5</f>
        <v>0.8</v>
      </c>
      <c r="D28" s="39">
        <f t="shared" si="1"/>
        <v>0.2</v>
      </c>
    </row>
    <row r="29" spans="1:4" ht="14.25" customHeight="1" x14ac:dyDescent="0.25">
      <c r="A29" s="37"/>
      <c r="B29" s="37"/>
      <c r="C29" s="39"/>
      <c r="D29" s="38"/>
    </row>
    <row r="30" spans="1:4" ht="45.75" customHeight="1" x14ac:dyDescent="0.25">
      <c r="A30" s="81" t="s">
        <v>127</v>
      </c>
      <c r="B30" s="69"/>
      <c r="C30" s="69"/>
      <c r="D30" s="69"/>
    </row>
    <row r="31" spans="1:4" ht="36.75" customHeight="1" x14ac:dyDescent="0.25">
      <c r="A31" s="40" t="s">
        <v>104</v>
      </c>
      <c r="B31" s="41" t="s">
        <v>106</v>
      </c>
      <c r="C31" s="42" t="s">
        <v>107</v>
      </c>
      <c r="D31" s="43" t="s">
        <v>108</v>
      </c>
    </row>
    <row r="32" spans="1:4" ht="41.25" customHeight="1" x14ac:dyDescent="0.25">
      <c r="A32" s="29">
        <v>1</v>
      </c>
      <c r="B32" s="30" t="s">
        <v>128</v>
      </c>
      <c r="C32" s="47" t="s">
        <v>129</v>
      </c>
      <c r="D32" s="47"/>
    </row>
    <row r="33" spans="1:4" ht="54.75" customHeight="1" x14ac:dyDescent="0.25">
      <c r="A33" s="29">
        <v>2</v>
      </c>
      <c r="B33" s="30" t="s">
        <v>130</v>
      </c>
      <c r="C33" s="47" t="s">
        <v>129</v>
      </c>
      <c r="D33" s="47"/>
    </row>
    <row r="34" spans="1:4" ht="45" customHeight="1" x14ac:dyDescent="0.25">
      <c r="A34" s="34">
        <v>3</v>
      </c>
      <c r="B34" s="35" t="s">
        <v>131</v>
      </c>
      <c r="C34" s="36" t="s">
        <v>110</v>
      </c>
      <c r="D34" s="36"/>
    </row>
    <row r="35" spans="1:4" ht="14.25" customHeight="1" x14ac:dyDescent="0.25">
      <c r="A35" s="80" t="s">
        <v>119</v>
      </c>
      <c r="B35" s="69"/>
      <c r="C35" s="8">
        <f>COUNTA('MODELO LISTA DE COMPROBACION - '!$C$32:$C$34)</f>
        <v>3</v>
      </c>
      <c r="D35" s="8">
        <f>COUNTA('MODELO LISTA DE COMPROBACION - '!$D$32:$D$34)</f>
        <v>0</v>
      </c>
    </row>
    <row r="36" spans="1:4" ht="14.25" customHeight="1" x14ac:dyDescent="0.25">
      <c r="A36" s="80" t="s">
        <v>120</v>
      </c>
      <c r="B36" s="69"/>
      <c r="C36" s="39">
        <f t="shared" ref="C36:D36" si="2">C35/3</f>
        <v>1</v>
      </c>
      <c r="D36" s="39">
        <f t="shared" si="2"/>
        <v>0</v>
      </c>
    </row>
    <row r="37" spans="1:4" ht="14.25" customHeight="1" x14ac:dyDescent="0.25"/>
    <row r="38" spans="1:4" ht="14.25" customHeight="1" x14ac:dyDescent="0.25"/>
    <row r="39" spans="1:4" ht="14.25" customHeight="1" x14ac:dyDescent="0.25"/>
    <row r="40" spans="1:4" ht="14.25" customHeight="1" x14ac:dyDescent="0.3">
      <c r="A40" s="82" t="s">
        <v>132</v>
      </c>
      <c r="B40" s="69"/>
      <c r="C40" s="69"/>
    </row>
    <row r="41" spans="1:4" ht="30" customHeight="1" x14ac:dyDescent="0.25">
      <c r="B41" s="23" t="s">
        <v>133</v>
      </c>
      <c r="C41" s="39">
        <f>C18</f>
        <v>0.77777777777777779</v>
      </c>
    </row>
    <row r="42" spans="1:4" ht="30" customHeight="1" x14ac:dyDescent="0.25">
      <c r="B42" s="23" t="s">
        <v>121</v>
      </c>
      <c r="C42" s="39">
        <f>C28</f>
        <v>0.8</v>
      </c>
    </row>
    <row r="43" spans="1:4" ht="30" customHeight="1" x14ac:dyDescent="0.25">
      <c r="B43" s="23" t="s">
        <v>127</v>
      </c>
      <c r="C43" s="39">
        <f>C36</f>
        <v>1</v>
      </c>
    </row>
    <row r="44" spans="1:4" ht="14.25" customHeight="1" x14ac:dyDescent="0.25">
      <c r="C44" s="38"/>
    </row>
    <row r="45" spans="1:4" ht="14.25" customHeight="1" x14ac:dyDescent="0.25">
      <c r="C45" s="38"/>
    </row>
    <row r="46" spans="1:4" ht="14.25" customHeight="1" x14ac:dyDescent="0.25"/>
    <row r="47" spans="1:4" ht="14.25" customHeight="1" x14ac:dyDescent="0.25"/>
    <row r="48" spans="1:4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4">
    <mergeCell ref="A36:B36"/>
    <mergeCell ref="A40:C40"/>
    <mergeCell ref="C1:D1"/>
    <mergeCell ref="C2:D2"/>
    <mergeCell ref="C3:D3"/>
    <mergeCell ref="C4:D4"/>
    <mergeCell ref="A6:D6"/>
    <mergeCell ref="A17:B17"/>
    <mergeCell ref="A20:D20"/>
    <mergeCell ref="A18:B18"/>
    <mergeCell ref="A27:B27"/>
    <mergeCell ref="A28:B28"/>
    <mergeCell ref="A30:D30"/>
    <mergeCell ref="A35:B35"/>
  </mergeCells>
  <conditionalFormatting sqref="A32:D34">
    <cfRule type="containsText" dxfId="79" priority="1" operator="containsText" text="X">
      <formula>NOT(ISERROR(SEARCH(("X"),(A32))))</formula>
    </cfRule>
  </conditionalFormatting>
  <conditionalFormatting sqref="C8:D16 C22:C26 C32:D34">
    <cfRule type="containsText" dxfId="78" priority="3" operator="containsText" text="X">
      <formula>NOT(ISERROR(SEARCH(("X"),(C8))))</formula>
    </cfRule>
    <cfRule type="containsText" dxfId="77" priority="4" operator="containsText" text="X">
      <formula>NOT(ISERROR(SEARCH(("X"),(C8))))</formula>
    </cfRule>
    <cfRule type="containsText" dxfId="76" priority="5" operator="containsText" text="X">
      <formula>NOT(ISERROR(SEARCH(("X"),(C8))))</formula>
    </cfRule>
  </conditionalFormatting>
  <conditionalFormatting sqref="C22:D26">
    <cfRule type="containsText" dxfId="75" priority="6" operator="containsText" text="X">
      <formula>NOT(ISERROR(SEARCH(("X"),(C22))))</formula>
    </cfRule>
    <cfRule type="containsText" dxfId="74" priority="7" operator="containsText" text="X">
      <formula>NOT(ISERROR(SEARCH(("X"),(C22))))</formula>
    </cfRule>
  </conditionalFormatting>
  <conditionalFormatting sqref="C32:D34 C8:D16 C22:C26">
    <cfRule type="containsText" dxfId="73" priority="2" operator="containsText" text="X">
      <formula>NOT(ISERROR(SEARCH(("X"),(C8))))</formula>
    </cfRule>
  </conditionalFormatting>
  <conditionalFormatting sqref="C32:D34">
    <cfRule type="containsText" dxfId="72" priority="8" operator="containsText" text="X">
      <formula>NOT(ISERROR(SEARCH(("X"),(C32))))</formula>
    </cfRule>
  </conditionalFormatting>
  <pageMargins left="0.7" right="0.7" top="0.75" bottom="0.75" header="0" footer="0"/>
  <pageSetup paperSize="9" scale="51" orientation="portrait" r:id="rId1"/>
  <drawing r:id="rId2"/>
  <legacyDrawing r:id="rId3"/>
  <tableParts count="3">
    <tablePart r:id="rId4"/>
    <tablePart r:id="rId5"/>
    <tablePart r:id="rId6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view="pageBreakPreview" zoomScale="60" zoomScaleNormal="100" workbookViewId="0"/>
  </sheetViews>
  <sheetFormatPr baseColWidth="10" defaultColWidth="14.42578125" defaultRowHeight="15" customHeight="1" x14ac:dyDescent="0.25"/>
  <cols>
    <col min="1" max="1" width="10.7109375" customWidth="1"/>
    <col min="2" max="2" width="63.42578125" customWidth="1"/>
    <col min="3" max="3" width="16.140625" customWidth="1"/>
    <col min="4" max="4" width="30.42578125" customWidth="1"/>
    <col min="5" max="24" width="10.7109375" customWidth="1"/>
  </cols>
  <sheetData>
    <row r="1" spans="1:26" ht="51" customHeight="1" x14ac:dyDescent="0.25">
      <c r="A1" s="23"/>
      <c r="B1" s="24" t="s">
        <v>1</v>
      </c>
      <c r="C1" s="83" t="s">
        <v>2</v>
      </c>
      <c r="D1" s="69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</row>
    <row r="2" spans="1:26" ht="14.25" customHeight="1" x14ac:dyDescent="0.3">
      <c r="B2" s="25" t="s">
        <v>96</v>
      </c>
      <c r="C2" s="84">
        <v>46296</v>
      </c>
      <c r="D2" s="69"/>
    </row>
    <row r="3" spans="1:26" ht="14.25" customHeight="1" x14ac:dyDescent="0.3">
      <c r="B3" s="25" t="s">
        <v>97</v>
      </c>
      <c r="C3" s="85" t="s">
        <v>98</v>
      </c>
      <c r="D3" s="69"/>
    </row>
    <row r="4" spans="1:26" ht="14.25" customHeight="1" x14ac:dyDescent="0.3">
      <c r="B4" s="25" t="s">
        <v>100</v>
      </c>
      <c r="C4" s="85" t="s">
        <v>101</v>
      </c>
      <c r="D4" s="69"/>
    </row>
    <row r="5" spans="1:26" ht="14.25" customHeight="1" x14ac:dyDescent="0.25"/>
    <row r="6" spans="1:26" ht="47.25" customHeight="1" x14ac:dyDescent="0.25">
      <c r="A6" s="81" t="s">
        <v>103</v>
      </c>
      <c r="B6" s="69"/>
      <c r="C6" s="69"/>
      <c r="D6" s="69"/>
    </row>
    <row r="7" spans="1:26" ht="47.25" customHeight="1" x14ac:dyDescent="0.25">
      <c r="A7" s="26" t="s">
        <v>104</v>
      </c>
      <c r="B7" s="27" t="s">
        <v>106</v>
      </c>
      <c r="C7" s="27" t="s">
        <v>107</v>
      </c>
      <c r="D7" s="28" t="s">
        <v>108</v>
      </c>
    </row>
    <row r="8" spans="1:26" ht="14.25" customHeight="1" x14ac:dyDescent="0.25">
      <c r="A8" s="29">
        <v>1</v>
      </c>
      <c r="B8" s="30" t="s">
        <v>109</v>
      </c>
      <c r="C8" s="31" t="s">
        <v>110</v>
      </c>
      <c r="D8" s="32"/>
    </row>
    <row r="9" spans="1:26" ht="14.25" customHeight="1" x14ac:dyDescent="0.25">
      <c r="A9" s="29">
        <v>2</v>
      </c>
      <c r="B9" s="30" t="s">
        <v>111</v>
      </c>
      <c r="C9" s="31" t="s">
        <v>110</v>
      </c>
      <c r="D9" s="32"/>
    </row>
    <row r="10" spans="1:26" ht="35.25" customHeight="1" x14ac:dyDescent="0.25">
      <c r="A10" s="29">
        <v>3</v>
      </c>
      <c r="B10" s="30" t="s">
        <v>112</v>
      </c>
      <c r="C10" s="31" t="s">
        <v>110</v>
      </c>
      <c r="D10" s="32"/>
    </row>
    <row r="11" spans="1:26" ht="14.25" customHeight="1" x14ac:dyDescent="0.25">
      <c r="A11" s="29">
        <v>4</v>
      </c>
      <c r="B11" s="30" t="s">
        <v>113</v>
      </c>
      <c r="C11" s="31" t="s">
        <v>110</v>
      </c>
      <c r="D11" s="32"/>
    </row>
    <row r="12" spans="1:26" ht="14.25" customHeight="1" x14ac:dyDescent="0.25">
      <c r="A12" s="29">
        <v>5</v>
      </c>
      <c r="B12" s="30" t="s">
        <v>114</v>
      </c>
      <c r="C12" s="31" t="s">
        <v>110</v>
      </c>
      <c r="D12" s="32"/>
    </row>
    <row r="13" spans="1:26" ht="14.25" customHeight="1" x14ac:dyDescent="0.25">
      <c r="A13" s="29">
        <v>6</v>
      </c>
      <c r="B13" s="30" t="s">
        <v>115</v>
      </c>
      <c r="C13" s="31" t="s">
        <v>110</v>
      </c>
      <c r="D13" s="32"/>
    </row>
    <row r="14" spans="1:26" ht="14.25" customHeight="1" x14ac:dyDescent="0.25">
      <c r="A14" s="29">
        <v>7</v>
      </c>
      <c r="B14" s="30" t="s">
        <v>116</v>
      </c>
      <c r="C14" s="31"/>
      <c r="D14" s="31" t="s">
        <v>110</v>
      </c>
    </row>
    <row r="15" spans="1:26" ht="43.5" customHeight="1" x14ac:dyDescent="0.25">
      <c r="A15" s="29">
        <v>8</v>
      </c>
      <c r="B15" s="30" t="s">
        <v>117</v>
      </c>
      <c r="C15" s="31" t="s">
        <v>110</v>
      </c>
      <c r="D15" s="32"/>
    </row>
    <row r="16" spans="1:26" ht="43.5" customHeight="1" x14ac:dyDescent="0.25">
      <c r="A16" s="34">
        <v>9</v>
      </c>
      <c r="B16" s="35" t="s">
        <v>118</v>
      </c>
      <c r="C16" s="36"/>
      <c r="D16" s="36" t="s">
        <v>110</v>
      </c>
    </row>
    <row r="17" spans="1:4" ht="14.25" customHeight="1" x14ac:dyDescent="0.25">
      <c r="A17" s="80" t="s">
        <v>119</v>
      </c>
      <c r="B17" s="69"/>
      <c r="C17" s="38">
        <f>COUNTA('MODELO LISTA DE COMPROBACIÓN - '!$C$8:$C$16)</f>
        <v>7</v>
      </c>
      <c r="D17" s="38">
        <f>COUNTA('MODELO LISTA DE COMPROBACIÓN - '!$D$8:$D$16)</f>
        <v>2</v>
      </c>
    </row>
    <row r="18" spans="1:4" ht="14.25" customHeight="1" x14ac:dyDescent="0.25">
      <c r="A18" s="80" t="s">
        <v>120</v>
      </c>
      <c r="B18" s="69"/>
      <c r="C18" s="39">
        <f t="shared" ref="C18:D18" si="0">C17/9</f>
        <v>0.77777777777777779</v>
      </c>
      <c r="D18" s="39">
        <f t="shared" si="0"/>
        <v>0.22222222222222221</v>
      </c>
    </row>
    <row r="19" spans="1:4" ht="14.25" customHeight="1" x14ac:dyDescent="0.25">
      <c r="A19" s="37"/>
      <c r="B19" s="37"/>
      <c r="C19" s="39"/>
      <c r="D19" s="38"/>
    </row>
    <row r="20" spans="1:4" ht="23.25" x14ac:dyDescent="0.25">
      <c r="A20" s="86" t="s">
        <v>121</v>
      </c>
      <c r="B20" s="87"/>
      <c r="C20" s="87"/>
      <c r="D20" s="87"/>
    </row>
    <row r="21" spans="1:4" ht="29.25" customHeight="1" x14ac:dyDescent="0.25">
      <c r="A21" s="40" t="s">
        <v>104</v>
      </c>
      <c r="B21" s="41" t="s">
        <v>106</v>
      </c>
      <c r="C21" s="42" t="s">
        <v>107</v>
      </c>
      <c r="D21" s="43" t="s">
        <v>108</v>
      </c>
    </row>
    <row r="22" spans="1:4" ht="14.25" customHeight="1" x14ac:dyDescent="0.25">
      <c r="A22" s="29">
        <v>1</v>
      </c>
      <c r="B22" s="30" t="s">
        <v>122</v>
      </c>
      <c r="C22" s="36" t="s">
        <v>110</v>
      </c>
      <c r="D22" s="32"/>
    </row>
    <row r="23" spans="1:4" ht="14.25" customHeight="1" x14ac:dyDescent="0.25">
      <c r="A23" s="29">
        <v>2</v>
      </c>
      <c r="B23" s="30" t="s">
        <v>123</v>
      </c>
      <c r="C23" s="36" t="s">
        <v>110</v>
      </c>
      <c r="D23" s="32"/>
    </row>
    <row r="24" spans="1:4" ht="14.25" customHeight="1" x14ac:dyDescent="0.25">
      <c r="A24" s="29">
        <v>3</v>
      </c>
      <c r="B24" s="30" t="s">
        <v>124</v>
      </c>
      <c r="C24" s="36"/>
      <c r="D24" s="36" t="s">
        <v>110</v>
      </c>
    </row>
    <row r="25" spans="1:4" ht="14.25" customHeight="1" x14ac:dyDescent="0.25">
      <c r="A25" s="29">
        <v>4</v>
      </c>
      <c r="B25" s="30" t="s">
        <v>125</v>
      </c>
      <c r="C25" s="36" t="s">
        <v>110</v>
      </c>
      <c r="D25" s="32"/>
    </row>
    <row r="26" spans="1:4" ht="14.25" customHeight="1" x14ac:dyDescent="0.25">
      <c r="A26" s="34">
        <v>5</v>
      </c>
      <c r="B26" s="35" t="s">
        <v>126</v>
      </c>
      <c r="C26" s="36" t="s">
        <v>110</v>
      </c>
      <c r="D26" s="45"/>
    </row>
    <row r="27" spans="1:4" ht="14.25" customHeight="1" x14ac:dyDescent="0.25">
      <c r="A27" s="80" t="s">
        <v>119</v>
      </c>
      <c r="B27" s="69"/>
      <c r="C27" s="38">
        <f>COUNTA('MODELO LISTA DE COMPROBACIÓN - '!$C$22:$C$26)</f>
        <v>4</v>
      </c>
      <c r="D27" s="38">
        <f>COUNTA('MODELO LISTA DE COMPROBACIÓN - '!$D$22:$D$26)</f>
        <v>1</v>
      </c>
    </row>
    <row r="28" spans="1:4" ht="14.25" customHeight="1" x14ac:dyDescent="0.25">
      <c r="A28" s="80" t="s">
        <v>120</v>
      </c>
      <c r="B28" s="69"/>
      <c r="C28" s="39">
        <f t="shared" ref="C28:D28" si="1">C27/5</f>
        <v>0.8</v>
      </c>
      <c r="D28" s="39">
        <f t="shared" si="1"/>
        <v>0.2</v>
      </c>
    </row>
    <row r="29" spans="1:4" ht="14.25" customHeight="1" x14ac:dyDescent="0.25">
      <c r="A29" s="37"/>
      <c r="B29" s="37"/>
      <c r="C29" s="39"/>
      <c r="D29" s="38"/>
    </row>
    <row r="30" spans="1:4" ht="86.25" customHeight="1" x14ac:dyDescent="0.25">
      <c r="A30" s="81" t="s">
        <v>127</v>
      </c>
      <c r="B30" s="69"/>
      <c r="C30" s="69"/>
      <c r="D30" s="69"/>
    </row>
    <row r="31" spans="1:4" ht="27" customHeight="1" x14ac:dyDescent="0.25">
      <c r="A31" s="40" t="s">
        <v>104</v>
      </c>
      <c r="B31" s="41" t="s">
        <v>106</v>
      </c>
      <c r="C31" s="42" t="s">
        <v>107</v>
      </c>
      <c r="D31" s="43" t="s">
        <v>108</v>
      </c>
    </row>
    <row r="32" spans="1:4" ht="27" customHeight="1" x14ac:dyDescent="0.25">
      <c r="A32" s="29">
        <v>1</v>
      </c>
      <c r="B32" s="30" t="s">
        <v>128</v>
      </c>
      <c r="C32" s="46" t="s">
        <v>129</v>
      </c>
      <c r="D32" s="36"/>
    </row>
    <row r="33" spans="1:4" ht="42" customHeight="1" x14ac:dyDescent="0.25">
      <c r="A33" s="29">
        <v>2</v>
      </c>
      <c r="B33" s="30" t="s">
        <v>130</v>
      </c>
      <c r="C33" s="47" t="s">
        <v>129</v>
      </c>
      <c r="D33" s="47"/>
    </row>
    <row r="34" spans="1:4" ht="41.25" customHeight="1" x14ac:dyDescent="0.25">
      <c r="A34" s="34">
        <v>3</v>
      </c>
      <c r="B34" s="35" t="s">
        <v>131</v>
      </c>
      <c r="C34" s="36" t="s">
        <v>110</v>
      </c>
      <c r="D34" s="36"/>
    </row>
    <row r="35" spans="1:4" ht="14.25" customHeight="1" x14ac:dyDescent="0.25">
      <c r="A35" s="80" t="s">
        <v>119</v>
      </c>
      <c r="B35" s="69"/>
      <c r="C35" s="8">
        <f>COUNTA('MODELO LISTA DE COMPROBACIÓN - '!$C$32:$C$34)</f>
        <v>3</v>
      </c>
      <c r="D35" s="8">
        <f>COUNTA('MODELO LISTA DE COMPROBACIÓN - '!$D$32:$D$34)</f>
        <v>0</v>
      </c>
    </row>
    <row r="36" spans="1:4" ht="14.25" customHeight="1" x14ac:dyDescent="0.25">
      <c r="A36" s="80" t="s">
        <v>120</v>
      </c>
      <c r="B36" s="69"/>
      <c r="C36" s="39">
        <f t="shared" ref="C36:D36" si="2">C35/3</f>
        <v>1</v>
      </c>
      <c r="D36" s="39">
        <f t="shared" si="2"/>
        <v>0</v>
      </c>
    </row>
    <row r="37" spans="1:4" ht="14.25" customHeight="1" x14ac:dyDescent="0.25"/>
    <row r="38" spans="1:4" ht="14.25" customHeight="1" x14ac:dyDescent="0.25"/>
    <row r="39" spans="1:4" ht="14.25" customHeight="1" x14ac:dyDescent="0.25"/>
    <row r="40" spans="1:4" ht="14.25" customHeight="1" x14ac:dyDescent="0.3">
      <c r="A40" s="82" t="s">
        <v>132</v>
      </c>
      <c r="B40" s="69"/>
      <c r="C40" s="69"/>
    </row>
    <row r="41" spans="1:4" ht="30" customHeight="1" x14ac:dyDescent="0.25">
      <c r="B41" s="23" t="s">
        <v>133</v>
      </c>
      <c r="C41" s="38">
        <v>78</v>
      </c>
    </row>
    <row r="42" spans="1:4" ht="30" customHeight="1" x14ac:dyDescent="0.25">
      <c r="B42" s="23" t="s">
        <v>121</v>
      </c>
      <c r="C42" s="48">
        <v>80</v>
      </c>
    </row>
    <row r="43" spans="1:4" ht="30" customHeight="1" x14ac:dyDescent="0.25">
      <c r="B43" s="23" t="s">
        <v>127</v>
      </c>
      <c r="C43" s="48">
        <v>100</v>
      </c>
    </row>
    <row r="44" spans="1:4" ht="14.25" customHeight="1" x14ac:dyDescent="0.25">
      <c r="C44" s="38"/>
    </row>
    <row r="45" spans="1:4" ht="14.25" customHeight="1" x14ac:dyDescent="0.25">
      <c r="C45" s="38"/>
    </row>
    <row r="46" spans="1:4" ht="14.25" customHeight="1" x14ac:dyDescent="0.25"/>
    <row r="47" spans="1:4" ht="14.25" customHeight="1" x14ac:dyDescent="0.25"/>
    <row r="48" spans="1:4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4">
    <mergeCell ref="A36:B36"/>
    <mergeCell ref="A40:C40"/>
    <mergeCell ref="C1:D1"/>
    <mergeCell ref="C2:D2"/>
    <mergeCell ref="C3:D3"/>
    <mergeCell ref="C4:D4"/>
    <mergeCell ref="A6:D6"/>
    <mergeCell ref="A17:B17"/>
    <mergeCell ref="A20:D20"/>
    <mergeCell ref="A18:B18"/>
    <mergeCell ref="A27:B27"/>
    <mergeCell ref="A28:B28"/>
    <mergeCell ref="A30:D30"/>
    <mergeCell ref="A35:B35"/>
  </mergeCells>
  <conditionalFormatting sqref="A32:D34">
    <cfRule type="containsText" dxfId="71" priority="1" operator="containsText" text="X">
      <formula>NOT(ISERROR(SEARCH(("X"),(A32))))</formula>
    </cfRule>
  </conditionalFormatting>
  <conditionalFormatting sqref="C8:D16 C22:C26 D24 D32:D34 C33:C34">
    <cfRule type="containsText" dxfId="70" priority="3" operator="containsText" text="X">
      <formula>NOT(ISERROR(SEARCH(("X"),(C8))))</formula>
    </cfRule>
    <cfRule type="containsText" dxfId="69" priority="4" operator="containsText" text="X">
      <formula>NOT(ISERROR(SEARCH(("X"),(C8))))</formula>
    </cfRule>
    <cfRule type="containsText" dxfId="68" priority="5" operator="containsText" text="X">
      <formula>NOT(ISERROR(SEARCH(("X"),(C8))))</formula>
    </cfRule>
  </conditionalFormatting>
  <conditionalFormatting sqref="C22:D26">
    <cfRule type="containsText" dxfId="67" priority="6" operator="containsText" text="X">
      <formula>NOT(ISERROR(SEARCH(("X"),(C22))))</formula>
    </cfRule>
    <cfRule type="containsText" dxfId="66" priority="7" operator="containsText" text="X">
      <formula>NOT(ISERROR(SEARCH(("X"),(C22))))</formula>
    </cfRule>
  </conditionalFormatting>
  <conditionalFormatting sqref="C32:D34">
    <cfRule type="containsText" dxfId="65" priority="8" operator="containsText" text="X">
      <formula>NOT(ISERROR(SEARCH(("X"),(C32))))</formula>
    </cfRule>
  </conditionalFormatting>
  <conditionalFormatting sqref="D32:D34 C33:C34 C8:D16 C22:C26 D24">
    <cfRule type="containsText" dxfId="64" priority="2" operator="containsText" text="X">
      <formula>NOT(ISERROR(SEARCH(("X"),(C8))))</formula>
    </cfRule>
  </conditionalFormatting>
  <pageMargins left="0.7" right="0.7" top="0.75" bottom="0.75" header="0" footer="0"/>
  <pageSetup paperSize="9" scale="42" orientation="portrait" r:id="rId1"/>
  <drawing r:id="rId2"/>
  <legacyDrawing r:id="rId3"/>
  <tableParts count="3">
    <tablePart r:id="rId4"/>
    <tablePart r:id="rId5"/>
    <tablePart r:id="rId6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view="pageBreakPreview" zoomScale="60" zoomScaleNormal="100" workbookViewId="0"/>
  </sheetViews>
  <sheetFormatPr baseColWidth="10" defaultColWidth="14.42578125" defaultRowHeight="15" customHeight="1" x14ac:dyDescent="0.25"/>
  <cols>
    <col min="1" max="1" width="10.7109375" customWidth="1"/>
    <col min="2" max="2" width="34.5703125" customWidth="1"/>
    <col min="3" max="3" width="16.140625" customWidth="1"/>
    <col min="4" max="4" width="32.5703125" customWidth="1"/>
    <col min="5" max="24" width="10.7109375" customWidth="1"/>
  </cols>
  <sheetData>
    <row r="1" spans="1:26" ht="51" customHeight="1" x14ac:dyDescent="0.25">
      <c r="A1" s="23"/>
      <c r="B1" s="24" t="s">
        <v>1</v>
      </c>
      <c r="C1" s="83" t="s">
        <v>2</v>
      </c>
      <c r="D1" s="69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</row>
    <row r="2" spans="1:26" ht="14.25" customHeight="1" x14ac:dyDescent="0.3">
      <c r="B2" s="25" t="s">
        <v>96</v>
      </c>
      <c r="C2" s="84">
        <v>46299</v>
      </c>
      <c r="D2" s="69"/>
    </row>
    <row r="3" spans="1:26" ht="14.25" customHeight="1" x14ac:dyDescent="0.3">
      <c r="B3" s="25" t="s">
        <v>97</v>
      </c>
      <c r="C3" s="85" t="s">
        <v>99</v>
      </c>
      <c r="D3" s="69"/>
    </row>
    <row r="4" spans="1:26" ht="14.25" customHeight="1" x14ac:dyDescent="0.3">
      <c r="B4" s="25" t="s">
        <v>100</v>
      </c>
      <c r="C4" s="85" t="s">
        <v>102</v>
      </c>
      <c r="D4" s="69"/>
    </row>
    <row r="5" spans="1:26" ht="14.25" customHeight="1" x14ac:dyDescent="0.25"/>
    <row r="6" spans="1:26" ht="23.25" x14ac:dyDescent="0.25">
      <c r="A6" s="81" t="s">
        <v>103</v>
      </c>
      <c r="B6" s="69"/>
      <c r="C6" s="69"/>
      <c r="D6" s="69"/>
    </row>
    <row r="7" spans="1:26" ht="18.75" x14ac:dyDescent="0.25">
      <c r="A7" s="26" t="s">
        <v>104</v>
      </c>
      <c r="B7" s="27" t="s">
        <v>106</v>
      </c>
      <c r="C7" s="27" t="s">
        <v>107</v>
      </c>
      <c r="D7" s="28" t="s">
        <v>108</v>
      </c>
    </row>
    <row r="8" spans="1:26" ht="30" x14ac:dyDescent="0.25">
      <c r="A8" s="29">
        <v>1</v>
      </c>
      <c r="B8" s="30" t="s">
        <v>109</v>
      </c>
      <c r="C8" s="31" t="s">
        <v>110</v>
      </c>
      <c r="D8" s="32"/>
    </row>
    <row r="9" spans="1:26" ht="30" x14ac:dyDescent="0.25">
      <c r="A9" s="29">
        <v>2</v>
      </c>
      <c r="B9" s="30" t="s">
        <v>111</v>
      </c>
      <c r="C9" s="31" t="s">
        <v>110</v>
      </c>
      <c r="D9" s="32"/>
    </row>
    <row r="10" spans="1:26" ht="60" x14ac:dyDescent="0.25">
      <c r="A10" s="29">
        <v>3</v>
      </c>
      <c r="B10" s="30" t="s">
        <v>112</v>
      </c>
      <c r="C10" s="31" t="s">
        <v>110</v>
      </c>
      <c r="D10" s="32"/>
    </row>
    <row r="11" spans="1:26" ht="30" x14ac:dyDescent="0.25">
      <c r="A11" s="29">
        <v>4</v>
      </c>
      <c r="B11" s="30" t="s">
        <v>113</v>
      </c>
      <c r="C11" s="31" t="s">
        <v>110</v>
      </c>
      <c r="D11" s="32"/>
    </row>
    <row r="12" spans="1:26" ht="30" x14ac:dyDescent="0.25">
      <c r="A12" s="29">
        <v>5</v>
      </c>
      <c r="B12" s="30" t="s">
        <v>114</v>
      </c>
      <c r="C12" s="31" t="s">
        <v>110</v>
      </c>
      <c r="D12" s="32"/>
    </row>
    <row r="13" spans="1:26" ht="30" x14ac:dyDescent="0.25">
      <c r="A13" s="29">
        <v>6</v>
      </c>
      <c r="B13" s="30" t="s">
        <v>115</v>
      </c>
      <c r="C13" s="31" t="s">
        <v>110</v>
      </c>
      <c r="D13" s="32"/>
    </row>
    <row r="14" spans="1:26" ht="30" x14ac:dyDescent="0.25">
      <c r="A14" s="29">
        <v>7</v>
      </c>
      <c r="B14" s="30" t="s">
        <v>116</v>
      </c>
      <c r="C14" s="31"/>
      <c r="D14" s="31" t="s">
        <v>110</v>
      </c>
    </row>
    <row r="15" spans="1:26" ht="45" x14ac:dyDescent="0.25">
      <c r="A15" s="29">
        <v>8</v>
      </c>
      <c r="B15" s="30" t="s">
        <v>117</v>
      </c>
      <c r="C15" s="31" t="s">
        <v>110</v>
      </c>
      <c r="D15" s="32"/>
    </row>
    <row r="16" spans="1:26" ht="75" x14ac:dyDescent="0.25">
      <c r="A16" s="34">
        <v>9</v>
      </c>
      <c r="B16" s="35" t="s">
        <v>118</v>
      </c>
      <c r="C16" s="36"/>
      <c r="D16" s="36" t="s">
        <v>110</v>
      </c>
    </row>
    <row r="17" spans="1:4" ht="18.75" x14ac:dyDescent="0.25">
      <c r="A17" s="80" t="s">
        <v>119</v>
      </c>
      <c r="B17" s="69"/>
      <c r="C17" s="38">
        <f>COUNTA('MODELO DE LISTA DE COMPROBACION'!$C$8:$C$16)</f>
        <v>7</v>
      </c>
      <c r="D17" s="38">
        <f>COUNTA('MODELO DE LISTA DE COMPROBACION'!$D$8:$D$16)</f>
        <v>2</v>
      </c>
    </row>
    <row r="18" spans="1:4" ht="18.75" x14ac:dyDescent="0.25">
      <c r="A18" s="80" t="s">
        <v>120</v>
      </c>
      <c r="B18" s="69"/>
      <c r="C18" s="39">
        <f t="shared" ref="C18:D18" si="0">C17/9</f>
        <v>0.77777777777777779</v>
      </c>
      <c r="D18" s="39">
        <f t="shared" si="0"/>
        <v>0.22222222222222221</v>
      </c>
    </row>
    <row r="19" spans="1:4" ht="14.25" customHeight="1" x14ac:dyDescent="0.25">
      <c r="A19" s="37"/>
      <c r="B19" s="37"/>
      <c r="C19" s="39"/>
      <c r="D19" s="38"/>
    </row>
    <row r="20" spans="1:4" ht="23.25" x14ac:dyDescent="0.25">
      <c r="A20" s="86" t="s">
        <v>121</v>
      </c>
      <c r="B20" s="87"/>
      <c r="C20" s="87"/>
      <c r="D20" s="87"/>
    </row>
    <row r="21" spans="1:4" ht="21" x14ac:dyDescent="0.25">
      <c r="A21" s="40" t="s">
        <v>104</v>
      </c>
      <c r="B21" s="41" t="s">
        <v>106</v>
      </c>
      <c r="C21" s="42" t="s">
        <v>107</v>
      </c>
      <c r="D21" s="43" t="s">
        <v>108</v>
      </c>
    </row>
    <row r="22" spans="1:4" ht="30" x14ac:dyDescent="0.25">
      <c r="A22" s="29">
        <v>1</v>
      </c>
      <c r="B22" s="30" t="s">
        <v>122</v>
      </c>
      <c r="C22" s="36" t="s">
        <v>110</v>
      </c>
      <c r="D22" s="32"/>
    </row>
    <row r="23" spans="1:4" ht="30" x14ac:dyDescent="0.25">
      <c r="A23" s="29">
        <v>2</v>
      </c>
      <c r="B23" s="30" t="s">
        <v>123</v>
      </c>
      <c r="C23" s="36" t="s">
        <v>110</v>
      </c>
      <c r="D23" s="32"/>
    </row>
    <row r="24" spans="1:4" ht="30" x14ac:dyDescent="0.25">
      <c r="A24" s="29">
        <v>3</v>
      </c>
      <c r="B24" s="30" t="s">
        <v>124</v>
      </c>
      <c r="C24" s="36"/>
      <c r="D24" s="44" t="s">
        <v>110</v>
      </c>
    </row>
    <row r="25" spans="1:4" ht="45" x14ac:dyDescent="0.25">
      <c r="A25" s="29">
        <v>4</v>
      </c>
      <c r="B25" s="30" t="s">
        <v>125</v>
      </c>
      <c r="C25" s="36" t="s">
        <v>110</v>
      </c>
      <c r="D25" s="32"/>
    </row>
    <row r="26" spans="1:4" ht="30" x14ac:dyDescent="0.25">
      <c r="A26" s="34">
        <v>5</v>
      </c>
      <c r="B26" s="35" t="s">
        <v>126</v>
      </c>
      <c r="C26" s="36" t="s">
        <v>110</v>
      </c>
      <c r="D26" s="45"/>
    </row>
    <row r="27" spans="1:4" ht="14.25" customHeight="1" x14ac:dyDescent="0.25">
      <c r="A27" s="80" t="s">
        <v>119</v>
      </c>
      <c r="B27" s="69"/>
      <c r="C27" s="38">
        <f>COUNTA('MODELO DE LISTA DE COMPROBACION'!$C$22:$C$26)</f>
        <v>4</v>
      </c>
      <c r="D27" s="38">
        <f>COUNTA('MODELO DE LISTA DE COMPROBACION'!$D$22:$D$26)</f>
        <v>1</v>
      </c>
    </row>
    <row r="28" spans="1:4" ht="14.25" customHeight="1" x14ac:dyDescent="0.25">
      <c r="A28" s="80" t="s">
        <v>120</v>
      </c>
      <c r="B28" s="69"/>
      <c r="C28" s="39">
        <f t="shared" ref="C28:D28" si="1">C27/5</f>
        <v>0.8</v>
      </c>
      <c r="D28" s="39">
        <f t="shared" si="1"/>
        <v>0.2</v>
      </c>
    </row>
    <row r="29" spans="1:4" ht="14.25" customHeight="1" x14ac:dyDescent="0.25">
      <c r="A29" s="37"/>
      <c r="B29" s="37"/>
      <c r="C29" s="39"/>
      <c r="D29" s="38"/>
    </row>
    <row r="30" spans="1:4" ht="23.25" x14ac:dyDescent="0.25">
      <c r="A30" s="81" t="s">
        <v>127</v>
      </c>
      <c r="B30" s="69"/>
      <c r="C30" s="69"/>
      <c r="D30" s="69"/>
    </row>
    <row r="31" spans="1:4" ht="21" x14ac:dyDescent="0.25">
      <c r="A31" s="40" t="s">
        <v>104</v>
      </c>
      <c r="B31" s="41" t="s">
        <v>106</v>
      </c>
      <c r="C31" s="42" t="s">
        <v>107</v>
      </c>
      <c r="D31" s="43" t="s">
        <v>108</v>
      </c>
    </row>
    <row r="32" spans="1:4" ht="30" x14ac:dyDescent="0.25">
      <c r="A32" s="29">
        <v>1</v>
      </c>
      <c r="B32" s="30" t="s">
        <v>128</v>
      </c>
      <c r="C32" s="47" t="s">
        <v>129</v>
      </c>
      <c r="D32" s="36"/>
    </row>
    <row r="33" spans="1:4" ht="45" x14ac:dyDescent="0.25">
      <c r="A33" s="29">
        <v>2</v>
      </c>
      <c r="B33" s="30" t="s">
        <v>130</v>
      </c>
      <c r="C33" s="47" t="s">
        <v>129</v>
      </c>
      <c r="D33" s="36"/>
    </row>
    <row r="34" spans="1:4" ht="45" x14ac:dyDescent="0.25">
      <c r="A34" s="34">
        <v>3</v>
      </c>
      <c r="B34" s="35" t="s">
        <v>131</v>
      </c>
      <c r="C34" s="36" t="s">
        <v>110</v>
      </c>
      <c r="D34" s="36"/>
    </row>
    <row r="35" spans="1:4" ht="14.25" customHeight="1" x14ac:dyDescent="0.25">
      <c r="A35" s="80" t="s">
        <v>119</v>
      </c>
      <c r="B35" s="69"/>
      <c r="C35" s="8">
        <f>COUNTA('MODELO DE LISTA DE COMPROBACION'!$C$32:$C$34)</f>
        <v>3</v>
      </c>
      <c r="D35" s="8">
        <f>COUNTA('MODELO DE LISTA DE COMPROBACION'!$D$32:$D$34)</f>
        <v>0</v>
      </c>
    </row>
    <row r="36" spans="1:4" ht="14.25" customHeight="1" x14ac:dyDescent="0.25">
      <c r="A36" s="80" t="s">
        <v>120</v>
      </c>
      <c r="B36" s="69"/>
      <c r="C36" s="39">
        <f t="shared" ref="C36:D36" si="2">C35/3</f>
        <v>1</v>
      </c>
      <c r="D36" s="39">
        <f t="shared" si="2"/>
        <v>0</v>
      </c>
    </row>
    <row r="37" spans="1:4" ht="14.25" customHeight="1" x14ac:dyDescent="0.25"/>
    <row r="38" spans="1:4" ht="14.25" customHeight="1" x14ac:dyDescent="0.25"/>
    <row r="39" spans="1:4" ht="14.25" customHeight="1" x14ac:dyDescent="0.25"/>
    <row r="40" spans="1:4" ht="14.25" customHeight="1" x14ac:dyDescent="0.3">
      <c r="A40" s="82" t="s">
        <v>132</v>
      </c>
      <c r="B40" s="69"/>
      <c r="C40" s="69"/>
    </row>
    <row r="41" spans="1:4" ht="30" customHeight="1" x14ac:dyDescent="0.25">
      <c r="B41" s="23" t="s">
        <v>133</v>
      </c>
      <c r="C41" s="38">
        <v>78</v>
      </c>
    </row>
    <row r="42" spans="1:4" ht="30" customHeight="1" x14ac:dyDescent="0.25">
      <c r="B42" s="23" t="s">
        <v>121</v>
      </c>
      <c r="C42" s="48">
        <v>80</v>
      </c>
    </row>
    <row r="43" spans="1:4" ht="30" customHeight="1" x14ac:dyDescent="0.25">
      <c r="B43" s="23" t="s">
        <v>127</v>
      </c>
      <c r="C43" s="48">
        <v>100</v>
      </c>
    </row>
    <row r="44" spans="1:4" ht="14.25" customHeight="1" x14ac:dyDescent="0.25">
      <c r="C44" s="38"/>
    </row>
    <row r="45" spans="1:4" ht="14.25" customHeight="1" x14ac:dyDescent="0.25">
      <c r="C45" s="38"/>
    </row>
    <row r="46" spans="1:4" ht="14.25" customHeight="1" x14ac:dyDescent="0.25"/>
    <row r="47" spans="1:4" ht="14.25" customHeight="1" x14ac:dyDescent="0.25"/>
    <row r="48" spans="1:4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4">
    <mergeCell ref="A36:B36"/>
    <mergeCell ref="A40:C40"/>
    <mergeCell ref="C1:D1"/>
    <mergeCell ref="C2:D2"/>
    <mergeCell ref="C3:D3"/>
    <mergeCell ref="C4:D4"/>
    <mergeCell ref="A6:D6"/>
    <mergeCell ref="A17:B17"/>
    <mergeCell ref="A20:D20"/>
    <mergeCell ref="A18:B18"/>
    <mergeCell ref="A27:B27"/>
    <mergeCell ref="A28:B28"/>
    <mergeCell ref="A30:D30"/>
    <mergeCell ref="A35:B35"/>
  </mergeCells>
  <conditionalFormatting sqref="A32:D34">
    <cfRule type="containsText" dxfId="63" priority="1" operator="containsText" text="X">
      <formula>NOT(ISERROR(SEARCH(("X"),(A32))))</formula>
    </cfRule>
  </conditionalFormatting>
  <conditionalFormatting sqref="C8:D16 C22:C26 C32:D34">
    <cfRule type="containsText" dxfId="62" priority="3" operator="containsText" text="X">
      <formula>NOT(ISERROR(SEARCH(("X"),(C8))))</formula>
    </cfRule>
    <cfRule type="containsText" dxfId="61" priority="4" operator="containsText" text="X">
      <formula>NOT(ISERROR(SEARCH(("X"),(C8))))</formula>
    </cfRule>
    <cfRule type="containsText" dxfId="60" priority="5" operator="containsText" text="X">
      <formula>NOT(ISERROR(SEARCH(("X"),(C8))))</formula>
    </cfRule>
  </conditionalFormatting>
  <conditionalFormatting sqref="C22:D26">
    <cfRule type="containsText" dxfId="59" priority="6" operator="containsText" text="X">
      <formula>NOT(ISERROR(SEARCH(("X"),(C22))))</formula>
    </cfRule>
    <cfRule type="containsText" dxfId="58" priority="7" operator="containsText" text="X">
      <formula>NOT(ISERROR(SEARCH(("X"),(C22))))</formula>
    </cfRule>
  </conditionalFormatting>
  <conditionalFormatting sqref="C32:D34 C8:D16 C22:C26">
    <cfRule type="containsText" dxfId="57" priority="2" operator="containsText" text="X">
      <formula>NOT(ISERROR(SEARCH(("X"),(C8))))</formula>
    </cfRule>
  </conditionalFormatting>
  <conditionalFormatting sqref="C32:D34">
    <cfRule type="containsText" dxfId="56" priority="8" operator="containsText" text="X">
      <formula>NOT(ISERROR(SEARCH(("X"),(C32))))</formula>
    </cfRule>
  </conditionalFormatting>
  <pageMargins left="0.7" right="0.7" top="0.75" bottom="0.75" header="0" footer="0"/>
  <pageSetup paperSize="9" scale="49" orientation="portrait" r:id="rId1"/>
  <drawing r:id="rId2"/>
  <legacyDrawing r:id="rId3"/>
  <tableParts count="3">
    <tablePart r:id="rId4"/>
    <tablePart r:id="rId5"/>
    <tablePart r:id="rId6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view="pageBreakPreview" zoomScale="60" zoomScaleNormal="100" workbookViewId="0"/>
  </sheetViews>
  <sheetFormatPr baseColWidth="10" defaultColWidth="14.42578125" defaultRowHeight="15" customHeight="1" x14ac:dyDescent="0.25"/>
  <cols>
    <col min="1" max="1" width="10.7109375" customWidth="1"/>
    <col min="2" max="2" width="34.5703125" customWidth="1"/>
    <col min="3" max="3" width="16.140625" customWidth="1"/>
    <col min="4" max="4" width="24.28515625" customWidth="1"/>
    <col min="5" max="24" width="10.7109375" customWidth="1"/>
  </cols>
  <sheetData>
    <row r="1" spans="1:26" ht="51" customHeight="1" x14ac:dyDescent="0.25">
      <c r="A1" s="23"/>
      <c r="B1" s="24" t="s">
        <v>1</v>
      </c>
      <c r="C1" s="83" t="s">
        <v>2</v>
      </c>
      <c r="D1" s="69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</row>
    <row r="2" spans="1:26" ht="14.25" customHeight="1" x14ac:dyDescent="0.3">
      <c r="B2" s="25" t="s">
        <v>96</v>
      </c>
      <c r="C2" s="84">
        <v>46306</v>
      </c>
      <c r="D2" s="69"/>
    </row>
    <row r="3" spans="1:26" ht="14.25" customHeight="1" x14ac:dyDescent="0.3">
      <c r="B3" s="25" t="s">
        <v>97</v>
      </c>
      <c r="C3" s="85" t="s">
        <v>105</v>
      </c>
      <c r="D3" s="69"/>
    </row>
    <row r="4" spans="1:26" ht="14.25" customHeight="1" x14ac:dyDescent="0.3">
      <c r="B4" s="25" t="s">
        <v>100</v>
      </c>
      <c r="C4" s="85" t="s">
        <v>134</v>
      </c>
      <c r="D4" s="69"/>
    </row>
    <row r="5" spans="1:26" ht="14.25" customHeight="1" x14ac:dyDescent="0.25"/>
    <row r="6" spans="1:26" ht="80.25" customHeight="1" x14ac:dyDescent="0.25">
      <c r="A6" s="81" t="s">
        <v>103</v>
      </c>
      <c r="B6" s="69"/>
      <c r="C6" s="69"/>
      <c r="D6" s="69"/>
    </row>
    <row r="7" spans="1:26" ht="20.25" customHeight="1" x14ac:dyDescent="0.25">
      <c r="A7" s="26" t="s">
        <v>104</v>
      </c>
      <c r="B7" s="27" t="s">
        <v>106</v>
      </c>
      <c r="C7" s="27" t="s">
        <v>107</v>
      </c>
      <c r="D7" s="28" t="s">
        <v>108</v>
      </c>
    </row>
    <row r="8" spans="1:26" ht="28.5" customHeight="1" x14ac:dyDescent="0.25">
      <c r="A8" s="29">
        <v>1</v>
      </c>
      <c r="B8" s="30" t="s">
        <v>109</v>
      </c>
      <c r="C8" s="31" t="s">
        <v>110</v>
      </c>
      <c r="D8" s="32"/>
    </row>
    <row r="9" spans="1:26" ht="33.75" customHeight="1" x14ac:dyDescent="0.25">
      <c r="A9" s="29">
        <v>2</v>
      </c>
      <c r="B9" s="30" t="s">
        <v>111</v>
      </c>
      <c r="C9" s="31"/>
      <c r="D9" s="33" t="s">
        <v>110</v>
      </c>
    </row>
    <row r="10" spans="1:26" ht="74.25" customHeight="1" x14ac:dyDescent="0.25">
      <c r="A10" s="29">
        <v>3</v>
      </c>
      <c r="B10" s="30" t="s">
        <v>112</v>
      </c>
      <c r="C10" s="31" t="s">
        <v>110</v>
      </c>
      <c r="D10" s="32"/>
    </row>
    <row r="11" spans="1:26" ht="52.5" customHeight="1" x14ac:dyDescent="0.25">
      <c r="A11" s="29">
        <v>4</v>
      </c>
      <c r="B11" s="30" t="s">
        <v>113</v>
      </c>
      <c r="C11" s="31" t="s">
        <v>110</v>
      </c>
      <c r="D11" s="32"/>
    </row>
    <row r="12" spans="1:26" ht="40.5" customHeight="1" x14ac:dyDescent="0.25">
      <c r="A12" s="29">
        <v>5</v>
      </c>
      <c r="B12" s="30" t="s">
        <v>114</v>
      </c>
      <c r="C12" s="31" t="s">
        <v>110</v>
      </c>
      <c r="D12" s="32"/>
    </row>
    <row r="13" spans="1:26" ht="41.25" customHeight="1" x14ac:dyDescent="0.25">
      <c r="A13" s="29">
        <v>6</v>
      </c>
      <c r="B13" s="30" t="s">
        <v>115</v>
      </c>
      <c r="C13" s="31" t="s">
        <v>110</v>
      </c>
      <c r="D13" s="32"/>
    </row>
    <row r="14" spans="1:26" ht="39" customHeight="1" x14ac:dyDescent="0.25">
      <c r="A14" s="29">
        <v>7</v>
      </c>
      <c r="B14" s="30" t="s">
        <v>116</v>
      </c>
      <c r="C14" s="31" t="s">
        <v>110</v>
      </c>
      <c r="D14" s="32"/>
    </row>
    <row r="15" spans="1:26" ht="45.75" customHeight="1" x14ac:dyDescent="0.25">
      <c r="A15" s="29">
        <v>8</v>
      </c>
      <c r="B15" s="30" t="s">
        <v>117</v>
      </c>
      <c r="C15" s="31" t="s">
        <v>110</v>
      </c>
      <c r="D15" s="32"/>
    </row>
    <row r="16" spans="1:26" ht="77.25" customHeight="1" x14ac:dyDescent="0.25">
      <c r="A16" s="34">
        <v>9</v>
      </c>
      <c r="B16" s="35" t="s">
        <v>118</v>
      </c>
      <c r="C16" s="36"/>
      <c r="D16" s="36" t="s">
        <v>110</v>
      </c>
    </row>
    <row r="17" spans="1:4" ht="14.25" customHeight="1" x14ac:dyDescent="0.25">
      <c r="A17" s="80" t="s">
        <v>119</v>
      </c>
      <c r="B17" s="69"/>
      <c r="C17" s="38">
        <f>COUNTA('Hoja 1'!$C$8:$C$16)</f>
        <v>7</v>
      </c>
      <c r="D17" s="38">
        <f>COUNTA('Hoja 1'!$D$8:$D$16)</f>
        <v>2</v>
      </c>
    </row>
    <row r="18" spans="1:4" ht="14.25" customHeight="1" x14ac:dyDescent="0.25">
      <c r="A18" s="80" t="s">
        <v>120</v>
      </c>
      <c r="B18" s="69"/>
      <c r="C18" s="39">
        <f t="shared" ref="C18:D18" si="0">C17/9</f>
        <v>0.77777777777777779</v>
      </c>
      <c r="D18" s="39">
        <f t="shared" si="0"/>
        <v>0.22222222222222221</v>
      </c>
    </row>
    <row r="19" spans="1:4" ht="14.25" customHeight="1" x14ac:dyDescent="0.25">
      <c r="A19" s="37"/>
      <c r="B19" s="37"/>
      <c r="C19" s="39"/>
      <c r="D19" s="38"/>
    </row>
    <row r="20" spans="1:4" ht="51" customHeight="1" x14ac:dyDescent="0.25">
      <c r="A20" s="86" t="s">
        <v>121</v>
      </c>
      <c r="B20" s="87"/>
      <c r="C20" s="87"/>
      <c r="D20" s="87"/>
    </row>
    <row r="21" spans="1:4" ht="35.25" customHeight="1" x14ac:dyDescent="0.25">
      <c r="A21" s="40" t="s">
        <v>104</v>
      </c>
      <c r="B21" s="41" t="s">
        <v>106</v>
      </c>
      <c r="C21" s="42" t="s">
        <v>107</v>
      </c>
      <c r="D21" s="43" t="s">
        <v>108</v>
      </c>
    </row>
    <row r="22" spans="1:4" ht="44.25" customHeight="1" x14ac:dyDescent="0.25">
      <c r="A22" s="29">
        <v>1</v>
      </c>
      <c r="B22" s="30" t="s">
        <v>122</v>
      </c>
      <c r="C22" s="36" t="s">
        <v>110</v>
      </c>
      <c r="D22" s="32"/>
    </row>
    <row r="23" spans="1:4" ht="48.75" customHeight="1" x14ac:dyDescent="0.25">
      <c r="A23" s="29">
        <v>2</v>
      </c>
      <c r="B23" s="30" t="s">
        <v>123</v>
      </c>
      <c r="C23" s="36" t="s">
        <v>110</v>
      </c>
      <c r="D23" s="32"/>
    </row>
    <row r="24" spans="1:4" ht="51" customHeight="1" x14ac:dyDescent="0.25">
      <c r="A24" s="29">
        <v>3</v>
      </c>
      <c r="B24" s="30" t="s">
        <v>124</v>
      </c>
      <c r="C24" s="36"/>
      <c r="D24" s="33" t="s">
        <v>110</v>
      </c>
    </row>
    <row r="25" spans="1:4" ht="55.5" customHeight="1" x14ac:dyDescent="0.25">
      <c r="A25" s="29">
        <v>4</v>
      </c>
      <c r="B25" s="30" t="s">
        <v>125</v>
      </c>
      <c r="C25" s="36" t="s">
        <v>110</v>
      </c>
      <c r="D25" s="32"/>
    </row>
    <row r="26" spans="1:4" ht="63" customHeight="1" x14ac:dyDescent="0.25">
      <c r="A26" s="34">
        <v>5</v>
      </c>
      <c r="B26" s="35" t="s">
        <v>126</v>
      </c>
      <c r="C26" s="36" t="s">
        <v>110</v>
      </c>
      <c r="D26" s="45"/>
    </row>
    <row r="27" spans="1:4" ht="14.25" customHeight="1" x14ac:dyDescent="0.25">
      <c r="A27" s="80" t="s">
        <v>119</v>
      </c>
      <c r="B27" s="69"/>
      <c r="C27" s="38">
        <f>COUNTA('Hoja 1'!$C$22:$C$26)</f>
        <v>4</v>
      </c>
      <c r="D27" s="38">
        <f>COUNTA('Hoja 1'!$D$22:$D$26)</f>
        <v>1</v>
      </c>
    </row>
    <row r="28" spans="1:4" ht="14.25" customHeight="1" x14ac:dyDescent="0.25">
      <c r="A28" s="80" t="s">
        <v>120</v>
      </c>
      <c r="B28" s="69"/>
      <c r="C28" s="39">
        <f t="shared" ref="C28:D28" si="1">C27/5</f>
        <v>0.8</v>
      </c>
      <c r="D28" s="39">
        <f t="shared" si="1"/>
        <v>0.2</v>
      </c>
    </row>
    <row r="29" spans="1:4" ht="14.25" customHeight="1" x14ac:dyDescent="0.25">
      <c r="A29" s="37"/>
      <c r="B29" s="37"/>
      <c r="C29" s="39"/>
      <c r="D29" s="38"/>
    </row>
    <row r="30" spans="1:4" ht="45.75" customHeight="1" x14ac:dyDescent="0.25">
      <c r="A30" s="81" t="s">
        <v>127</v>
      </c>
      <c r="B30" s="69"/>
      <c r="C30" s="69"/>
      <c r="D30" s="69"/>
    </row>
    <row r="31" spans="1:4" ht="36.75" customHeight="1" x14ac:dyDescent="0.25">
      <c r="A31" s="40" t="s">
        <v>104</v>
      </c>
      <c r="B31" s="41" t="s">
        <v>106</v>
      </c>
      <c r="C31" s="42" t="s">
        <v>107</v>
      </c>
      <c r="D31" s="43" t="s">
        <v>108</v>
      </c>
    </row>
    <row r="32" spans="1:4" ht="41.25" customHeight="1" x14ac:dyDescent="0.25">
      <c r="A32" s="29">
        <v>1</v>
      </c>
      <c r="B32" s="30" t="s">
        <v>128</v>
      </c>
      <c r="C32" s="47" t="s">
        <v>129</v>
      </c>
      <c r="D32" s="47"/>
    </row>
    <row r="33" spans="1:4" ht="54.75" customHeight="1" x14ac:dyDescent="0.25">
      <c r="A33" s="29">
        <v>2</v>
      </c>
      <c r="B33" s="30" t="s">
        <v>130</v>
      </c>
      <c r="C33" s="47" t="s">
        <v>129</v>
      </c>
      <c r="D33" s="47"/>
    </row>
    <row r="34" spans="1:4" ht="45" customHeight="1" x14ac:dyDescent="0.25">
      <c r="A34" s="34">
        <v>3</v>
      </c>
      <c r="B34" s="35" t="s">
        <v>131</v>
      </c>
      <c r="C34" s="36" t="s">
        <v>110</v>
      </c>
      <c r="D34" s="36"/>
    </row>
    <row r="35" spans="1:4" ht="14.25" customHeight="1" x14ac:dyDescent="0.25">
      <c r="A35" s="80" t="s">
        <v>119</v>
      </c>
      <c r="B35" s="69"/>
      <c r="C35" s="8">
        <f>COUNTA('Hoja 1'!$C$32:$C$34)</f>
        <v>3</v>
      </c>
      <c r="D35" s="8">
        <f>COUNTA('Hoja 1'!$D$32:$D$34)</f>
        <v>0</v>
      </c>
    </row>
    <row r="36" spans="1:4" ht="14.25" customHeight="1" x14ac:dyDescent="0.25">
      <c r="A36" s="80" t="s">
        <v>120</v>
      </c>
      <c r="B36" s="69"/>
      <c r="C36" s="39">
        <f t="shared" ref="C36:D36" si="2">C35/3</f>
        <v>1</v>
      </c>
      <c r="D36" s="39">
        <f t="shared" si="2"/>
        <v>0</v>
      </c>
    </row>
    <row r="37" spans="1:4" ht="14.25" customHeight="1" x14ac:dyDescent="0.25"/>
    <row r="38" spans="1:4" ht="14.25" customHeight="1" x14ac:dyDescent="0.25"/>
    <row r="39" spans="1:4" ht="14.25" customHeight="1" x14ac:dyDescent="0.25"/>
    <row r="40" spans="1:4" ht="14.25" customHeight="1" x14ac:dyDescent="0.3">
      <c r="A40" s="82" t="s">
        <v>132</v>
      </c>
      <c r="B40" s="69"/>
      <c r="C40" s="69"/>
    </row>
    <row r="41" spans="1:4" ht="30" customHeight="1" x14ac:dyDescent="0.25">
      <c r="B41" s="23" t="s">
        <v>133</v>
      </c>
      <c r="C41" s="39">
        <f>C18</f>
        <v>0.77777777777777779</v>
      </c>
    </row>
    <row r="42" spans="1:4" ht="30" customHeight="1" x14ac:dyDescent="0.25">
      <c r="B42" s="23" t="s">
        <v>121</v>
      </c>
      <c r="C42" s="39">
        <f>C28</f>
        <v>0.8</v>
      </c>
    </row>
    <row r="43" spans="1:4" ht="30" customHeight="1" x14ac:dyDescent="0.25">
      <c r="B43" s="23" t="s">
        <v>127</v>
      </c>
      <c r="C43" s="39">
        <f>C36</f>
        <v>1</v>
      </c>
    </row>
    <row r="44" spans="1:4" ht="14.25" customHeight="1" x14ac:dyDescent="0.25">
      <c r="C44" s="38"/>
    </row>
    <row r="45" spans="1:4" ht="14.25" customHeight="1" x14ac:dyDescent="0.25">
      <c r="C45" s="38"/>
    </row>
    <row r="46" spans="1:4" ht="14.25" customHeight="1" x14ac:dyDescent="0.25"/>
    <row r="47" spans="1:4" ht="14.25" customHeight="1" x14ac:dyDescent="0.25"/>
    <row r="48" spans="1:4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4">
    <mergeCell ref="A36:B36"/>
    <mergeCell ref="A40:C40"/>
    <mergeCell ref="C1:D1"/>
    <mergeCell ref="C2:D2"/>
    <mergeCell ref="C3:D3"/>
    <mergeCell ref="C4:D4"/>
    <mergeCell ref="A6:D6"/>
    <mergeCell ref="A17:B17"/>
    <mergeCell ref="A20:D20"/>
    <mergeCell ref="A18:B18"/>
    <mergeCell ref="A27:B27"/>
    <mergeCell ref="A28:B28"/>
    <mergeCell ref="A30:D30"/>
    <mergeCell ref="A35:B35"/>
  </mergeCells>
  <conditionalFormatting sqref="A32:D34">
    <cfRule type="containsText" dxfId="55" priority="1" operator="containsText" text="X">
      <formula>NOT(ISERROR(SEARCH(("X"),(A32))))</formula>
    </cfRule>
  </conditionalFormatting>
  <conditionalFormatting sqref="C8:D16 C22:C26 C32:D34">
    <cfRule type="containsText" dxfId="54" priority="3" operator="containsText" text="X">
      <formula>NOT(ISERROR(SEARCH(("X"),(C8))))</formula>
    </cfRule>
    <cfRule type="containsText" dxfId="53" priority="4" operator="containsText" text="X">
      <formula>NOT(ISERROR(SEARCH(("X"),(C8))))</formula>
    </cfRule>
    <cfRule type="containsText" dxfId="52" priority="5" operator="containsText" text="X">
      <formula>NOT(ISERROR(SEARCH(("X"),(C8))))</formula>
    </cfRule>
  </conditionalFormatting>
  <conditionalFormatting sqref="C22:D26">
    <cfRule type="containsText" dxfId="51" priority="6" operator="containsText" text="X">
      <formula>NOT(ISERROR(SEARCH(("X"),(C22))))</formula>
    </cfRule>
    <cfRule type="containsText" dxfId="50" priority="7" operator="containsText" text="X">
      <formula>NOT(ISERROR(SEARCH(("X"),(C22))))</formula>
    </cfRule>
  </conditionalFormatting>
  <conditionalFormatting sqref="C32:D34 C8:D16 C22:C26">
    <cfRule type="containsText" dxfId="49" priority="2" operator="containsText" text="X">
      <formula>NOT(ISERROR(SEARCH(("X"),(C8))))</formula>
    </cfRule>
  </conditionalFormatting>
  <conditionalFormatting sqref="C32:D34">
    <cfRule type="containsText" dxfId="48" priority="8" operator="containsText" text="X">
      <formula>NOT(ISERROR(SEARCH(("X"),(C32))))</formula>
    </cfRule>
  </conditionalFormatting>
  <pageMargins left="0.7" right="0.7" top="0.75" bottom="0.75" header="0" footer="0"/>
  <pageSetup paperSize="9" scale="48" orientation="portrait" r:id="rId1"/>
  <drawing r:id="rId2"/>
  <tableParts count="3">
    <tablePart r:id="rId3"/>
    <tablePart r:id="rId4"/>
    <tablePart r:id="rId5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view="pageBreakPreview" zoomScale="60" zoomScaleNormal="100" workbookViewId="0"/>
  </sheetViews>
  <sheetFormatPr baseColWidth="10" defaultColWidth="14.42578125" defaultRowHeight="15" customHeight="1" x14ac:dyDescent="0.25"/>
  <cols>
    <col min="1" max="1" width="10.7109375" customWidth="1"/>
    <col min="2" max="2" width="34.5703125" customWidth="1"/>
    <col min="3" max="3" width="16.140625" customWidth="1"/>
    <col min="4" max="4" width="32.5703125" customWidth="1"/>
    <col min="5" max="24" width="10.7109375" customWidth="1"/>
  </cols>
  <sheetData>
    <row r="1" spans="1:26" ht="51" customHeight="1" x14ac:dyDescent="0.25">
      <c r="A1" s="23"/>
      <c r="B1" s="24" t="s">
        <v>1</v>
      </c>
      <c r="C1" s="83" t="s">
        <v>2</v>
      </c>
      <c r="D1" s="69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</row>
    <row r="2" spans="1:26" ht="14.25" customHeight="1" x14ac:dyDescent="0.3">
      <c r="B2" s="25" t="s">
        <v>96</v>
      </c>
      <c r="C2" s="84">
        <v>46299</v>
      </c>
      <c r="D2" s="69"/>
    </row>
    <row r="3" spans="1:26" ht="14.25" customHeight="1" x14ac:dyDescent="0.3">
      <c r="B3" s="25" t="s">
        <v>97</v>
      </c>
      <c r="C3" s="85" t="s">
        <v>98</v>
      </c>
      <c r="D3" s="69"/>
    </row>
    <row r="4" spans="1:26" ht="14.25" customHeight="1" x14ac:dyDescent="0.3">
      <c r="B4" s="25" t="s">
        <v>100</v>
      </c>
      <c r="C4" s="85" t="s">
        <v>135</v>
      </c>
      <c r="D4" s="69"/>
    </row>
    <row r="5" spans="1:26" ht="14.25" customHeight="1" x14ac:dyDescent="0.25"/>
    <row r="6" spans="1:26" ht="23.25" x14ac:dyDescent="0.25">
      <c r="A6" s="81" t="s">
        <v>103</v>
      </c>
      <c r="B6" s="69"/>
      <c r="C6" s="69"/>
      <c r="D6" s="69"/>
    </row>
    <row r="7" spans="1:26" ht="18.75" x14ac:dyDescent="0.25">
      <c r="A7" s="26" t="s">
        <v>104</v>
      </c>
      <c r="B7" s="27" t="s">
        <v>106</v>
      </c>
      <c r="C7" s="27" t="s">
        <v>107</v>
      </c>
      <c r="D7" s="28" t="s">
        <v>108</v>
      </c>
    </row>
    <row r="8" spans="1:26" ht="30" x14ac:dyDescent="0.25">
      <c r="A8" s="29">
        <v>1</v>
      </c>
      <c r="B8" s="30" t="s">
        <v>109</v>
      </c>
      <c r="C8" s="31" t="s">
        <v>110</v>
      </c>
      <c r="D8" s="32"/>
    </row>
    <row r="9" spans="1:26" ht="30" x14ac:dyDescent="0.25">
      <c r="A9" s="29">
        <v>2</v>
      </c>
      <c r="B9" s="30" t="s">
        <v>111</v>
      </c>
      <c r="C9" s="31" t="s">
        <v>110</v>
      </c>
      <c r="D9" s="32"/>
    </row>
    <row r="10" spans="1:26" ht="60" x14ac:dyDescent="0.25">
      <c r="A10" s="29">
        <v>3</v>
      </c>
      <c r="B10" s="30" t="s">
        <v>112</v>
      </c>
      <c r="C10" s="31" t="s">
        <v>110</v>
      </c>
      <c r="D10" s="32"/>
    </row>
    <row r="11" spans="1:26" ht="30" x14ac:dyDescent="0.25">
      <c r="A11" s="29">
        <v>4</v>
      </c>
      <c r="B11" s="30" t="s">
        <v>113</v>
      </c>
      <c r="C11" s="31" t="s">
        <v>110</v>
      </c>
      <c r="D11" s="32"/>
    </row>
    <row r="12" spans="1:26" ht="30" x14ac:dyDescent="0.25">
      <c r="A12" s="29">
        <v>5</v>
      </c>
      <c r="B12" s="30" t="s">
        <v>114</v>
      </c>
      <c r="C12" s="31" t="s">
        <v>110</v>
      </c>
      <c r="D12" s="32"/>
    </row>
    <row r="13" spans="1:26" ht="30" x14ac:dyDescent="0.25">
      <c r="A13" s="29">
        <v>6</v>
      </c>
      <c r="B13" s="30" t="s">
        <v>115</v>
      </c>
      <c r="C13" s="31" t="s">
        <v>110</v>
      </c>
      <c r="D13" s="32"/>
    </row>
    <row r="14" spans="1:26" ht="30" x14ac:dyDescent="0.25">
      <c r="A14" s="29">
        <v>7</v>
      </c>
      <c r="B14" s="30" t="s">
        <v>116</v>
      </c>
      <c r="C14" s="31"/>
      <c r="D14" s="31" t="s">
        <v>110</v>
      </c>
    </row>
    <row r="15" spans="1:26" ht="45" x14ac:dyDescent="0.25">
      <c r="A15" s="29">
        <v>8</v>
      </c>
      <c r="B15" s="30" t="s">
        <v>117</v>
      </c>
      <c r="C15" s="31" t="s">
        <v>110</v>
      </c>
      <c r="D15" s="32"/>
    </row>
    <row r="16" spans="1:26" ht="75" x14ac:dyDescent="0.25">
      <c r="A16" s="34">
        <v>9</v>
      </c>
      <c r="B16" s="35" t="s">
        <v>118</v>
      </c>
      <c r="C16" s="36"/>
      <c r="D16" s="36" t="s">
        <v>110</v>
      </c>
    </row>
    <row r="17" spans="1:4" ht="18.75" x14ac:dyDescent="0.25">
      <c r="A17" s="80" t="s">
        <v>119</v>
      </c>
      <c r="B17" s="69"/>
      <c r="C17" s="38">
        <f>COUNTA('Hoja 2'!$C$8:$C$16)</f>
        <v>7</v>
      </c>
      <c r="D17" s="38">
        <f>COUNTA('Hoja 2'!$D$8:$D$16)</f>
        <v>2</v>
      </c>
    </row>
    <row r="18" spans="1:4" ht="18.75" x14ac:dyDescent="0.25">
      <c r="A18" s="80" t="s">
        <v>120</v>
      </c>
      <c r="B18" s="69"/>
      <c r="C18" s="39">
        <f t="shared" ref="C18:D18" si="0">C17/9</f>
        <v>0.77777777777777779</v>
      </c>
      <c r="D18" s="39">
        <f t="shared" si="0"/>
        <v>0.22222222222222221</v>
      </c>
    </row>
    <row r="19" spans="1:4" ht="14.25" customHeight="1" x14ac:dyDescent="0.25">
      <c r="A19" s="37"/>
      <c r="B19" s="37"/>
      <c r="C19" s="39"/>
      <c r="D19" s="38"/>
    </row>
    <row r="20" spans="1:4" ht="23.25" x14ac:dyDescent="0.25">
      <c r="A20" s="86" t="s">
        <v>121</v>
      </c>
      <c r="B20" s="87"/>
      <c r="C20" s="87"/>
      <c r="D20" s="87"/>
    </row>
    <row r="21" spans="1:4" ht="21" x14ac:dyDescent="0.25">
      <c r="A21" s="40" t="s">
        <v>104</v>
      </c>
      <c r="B21" s="41" t="s">
        <v>106</v>
      </c>
      <c r="C21" s="42" t="s">
        <v>107</v>
      </c>
      <c r="D21" s="43" t="s">
        <v>108</v>
      </c>
    </row>
    <row r="22" spans="1:4" ht="30" x14ac:dyDescent="0.25">
      <c r="A22" s="29">
        <v>1</v>
      </c>
      <c r="B22" s="30" t="s">
        <v>122</v>
      </c>
      <c r="C22" s="36" t="s">
        <v>110</v>
      </c>
      <c r="D22" s="32"/>
    </row>
    <row r="23" spans="1:4" ht="30" x14ac:dyDescent="0.25">
      <c r="A23" s="29">
        <v>2</v>
      </c>
      <c r="B23" s="30" t="s">
        <v>123</v>
      </c>
      <c r="C23" s="36" t="s">
        <v>110</v>
      </c>
      <c r="D23" s="32"/>
    </row>
    <row r="24" spans="1:4" ht="30" x14ac:dyDescent="0.25">
      <c r="A24" s="29">
        <v>3</v>
      </c>
      <c r="B24" s="30" t="s">
        <v>124</v>
      </c>
      <c r="C24" s="36"/>
      <c r="D24" s="44" t="s">
        <v>110</v>
      </c>
    </row>
    <row r="25" spans="1:4" ht="45" x14ac:dyDescent="0.25">
      <c r="A25" s="29">
        <v>4</v>
      </c>
      <c r="B25" s="30" t="s">
        <v>125</v>
      </c>
      <c r="C25" s="36" t="s">
        <v>110</v>
      </c>
      <c r="D25" s="32"/>
    </row>
    <row r="26" spans="1:4" ht="30" x14ac:dyDescent="0.25">
      <c r="A26" s="34">
        <v>5</v>
      </c>
      <c r="B26" s="35" t="s">
        <v>126</v>
      </c>
      <c r="C26" s="36" t="s">
        <v>110</v>
      </c>
      <c r="D26" s="45"/>
    </row>
    <row r="27" spans="1:4" ht="14.25" customHeight="1" x14ac:dyDescent="0.25">
      <c r="A27" s="80" t="s">
        <v>119</v>
      </c>
      <c r="B27" s="69"/>
      <c r="C27" s="38">
        <f>COUNTA('Hoja 2'!$C$22:$C$26)</f>
        <v>4</v>
      </c>
      <c r="D27" s="38">
        <f>COUNTA('Hoja 2'!$D$22:$D$26)</f>
        <v>1</v>
      </c>
    </row>
    <row r="28" spans="1:4" ht="14.25" customHeight="1" x14ac:dyDescent="0.25">
      <c r="A28" s="80" t="s">
        <v>120</v>
      </c>
      <c r="B28" s="69"/>
      <c r="C28" s="39">
        <f t="shared" ref="C28:D28" si="1">C27/5</f>
        <v>0.8</v>
      </c>
      <c r="D28" s="39">
        <f t="shared" si="1"/>
        <v>0.2</v>
      </c>
    </row>
    <row r="29" spans="1:4" ht="14.25" customHeight="1" x14ac:dyDescent="0.25">
      <c r="A29" s="37"/>
      <c r="B29" s="37"/>
      <c r="C29" s="39"/>
      <c r="D29" s="38"/>
    </row>
    <row r="30" spans="1:4" ht="23.25" x14ac:dyDescent="0.25">
      <c r="A30" s="81" t="s">
        <v>127</v>
      </c>
      <c r="B30" s="69"/>
      <c r="C30" s="69"/>
      <c r="D30" s="69"/>
    </row>
    <row r="31" spans="1:4" ht="21" x14ac:dyDescent="0.25">
      <c r="A31" s="40" t="s">
        <v>104</v>
      </c>
      <c r="B31" s="41" t="s">
        <v>106</v>
      </c>
      <c r="C31" s="42" t="s">
        <v>107</v>
      </c>
      <c r="D31" s="43" t="s">
        <v>108</v>
      </c>
    </row>
    <row r="32" spans="1:4" ht="30" x14ac:dyDescent="0.25">
      <c r="A32" s="29">
        <v>1</v>
      </c>
      <c r="B32" s="30" t="s">
        <v>128</v>
      </c>
      <c r="C32" s="47" t="s">
        <v>129</v>
      </c>
      <c r="D32" s="36"/>
    </row>
    <row r="33" spans="1:4" ht="45" x14ac:dyDescent="0.25">
      <c r="A33" s="29">
        <v>2</v>
      </c>
      <c r="B33" s="30" t="s">
        <v>130</v>
      </c>
      <c r="C33" s="47" t="s">
        <v>129</v>
      </c>
      <c r="D33" s="36"/>
    </row>
    <row r="34" spans="1:4" ht="45" x14ac:dyDescent="0.25">
      <c r="A34" s="34">
        <v>3</v>
      </c>
      <c r="B34" s="35" t="s">
        <v>131</v>
      </c>
      <c r="C34" s="36" t="s">
        <v>110</v>
      </c>
      <c r="D34" s="36"/>
    </row>
    <row r="35" spans="1:4" ht="14.25" customHeight="1" x14ac:dyDescent="0.25">
      <c r="A35" s="80" t="s">
        <v>119</v>
      </c>
      <c r="B35" s="69"/>
      <c r="C35" s="8">
        <f>COUNTA('Hoja 2'!$C$32:$C$34)</f>
        <v>3</v>
      </c>
      <c r="D35" s="8">
        <f>COUNTA('Hoja 2'!$D$32:$D$34)</f>
        <v>0</v>
      </c>
    </row>
    <row r="36" spans="1:4" ht="14.25" customHeight="1" x14ac:dyDescent="0.25">
      <c r="A36" s="80" t="s">
        <v>120</v>
      </c>
      <c r="B36" s="69"/>
      <c r="C36" s="39">
        <f t="shared" ref="C36:D36" si="2">C35/3</f>
        <v>1</v>
      </c>
      <c r="D36" s="39">
        <f t="shared" si="2"/>
        <v>0</v>
      </c>
    </row>
    <row r="37" spans="1:4" ht="14.25" customHeight="1" x14ac:dyDescent="0.25"/>
    <row r="38" spans="1:4" ht="14.25" customHeight="1" x14ac:dyDescent="0.25"/>
    <row r="39" spans="1:4" ht="14.25" customHeight="1" x14ac:dyDescent="0.25"/>
    <row r="40" spans="1:4" ht="14.25" customHeight="1" x14ac:dyDescent="0.3">
      <c r="A40" s="82" t="s">
        <v>132</v>
      </c>
      <c r="B40" s="69"/>
      <c r="C40" s="69"/>
    </row>
    <row r="41" spans="1:4" ht="30" customHeight="1" x14ac:dyDescent="0.25">
      <c r="B41" s="23" t="s">
        <v>133</v>
      </c>
      <c r="C41" s="38">
        <v>78</v>
      </c>
    </row>
    <row r="42" spans="1:4" ht="30" customHeight="1" x14ac:dyDescent="0.25">
      <c r="B42" s="23" t="s">
        <v>121</v>
      </c>
      <c r="C42" s="48">
        <v>80</v>
      </c>
    </row>
    <row r="43" spans="1:4" ht="30" customHeight="1" x14ac:dyDescent="0.25">
      <c r="B43" s="23" t="s">
        <v>127</v>
      </c>
      <c r="C43" s="48">
        <v>100</v>
      </c>
    </row>
    <row r="44" spans="1:4" ht="14.25" customHeight="1" x14ac:dyDescent="0.25">
      <c r="C44" s="38"/>
    </row>
    <row r="45" spans="1:4" ht="14.25" customHeight="1" x14ac:dyDescent="0.25">
      <c r="C45" s="38"/>
    </row>
    <row r="46" spans="1:4" ht="14.25" customHeight="1" x14ac:dyDescent="0.25"/>
    <row r="47" spans="1:4" ht="14.25" customHeight="1" x14ac:dyDescent="0.25"/>
    <row r="48" spans="1:4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4">
    <mergeCell ref="A36:B36"/>
    <mergeCell ref="A40:C40"/>
    <mergeCell ref="C1:D1"/>
    <mergeCell ref="C2:D2"/>
    <mergeCell ref="C3:D3"/>
    <mergeCell ref="C4:D4"/>
    <mergeCell ref="A6:D6"/>
    <mergeCell ref="A17:B17"/>
    <mergeCell ref="A20:D20"/>
    <mergeCell ref="A18:B18"/>
    <mergeCell ref="A27:B27"/>
    <mergeCell ref="A28:B28"/>
    <mergeCell ref="A30:D30"/>
    <mergeCell ref="A35:B35"/>
  </mergeCells>
  <conditionalFormatting sqref="A32:D34">
    <cfRule type="containsText" dxfId="47" priority="1" operator="containsText" text="X">
      <formula>NOT(ISERROR(SEARCH(("X"),(A32))))</formula>
    </cfRule>
  </conditionalFormatting>
  <conditionalFormatting sqref="C8:D16 C22:C26 C32:D34">
    <cfRule type="containsText" dxfId="46" priority="3" operator="containsText" text="X">
      <formula>NOT(ISERROR(SEARCH(("X"),(C8))))</formula>
    </cfRule>
    <cfRule type="containsText" dxfId="45" priority="4" operator="containsText" text="X">
      <formula>NOT(ISERROR(SEARCH(("X"),(C8))))</formula>
    </cfRule>
    <cfRule type="containsText" dxfId="44" priority="5" operator="containsText" text="X">
      <formula>NOT(ISERROR(SEARCH(("X"),(C8))))</formula>
    </cfRule>
  </conditionalFormatting>
  <conditionalFormatting sqref="C22:D26">
    <cfRule type="containsText" dxfId="43" priority="6" operator="containsText" text="X">
      <formula>NOT(ISERROR(SEARCH(("X"),(C22))))</formula>
    </cfRule>
    <cfRule type="containsText" dxfId="42" priority="7" operator="containsText" text="X">
      <formula>NOT(ISERROR(SEARCH(("X"),(C22))))</formula>
    </cfRule>
  </conditionalFormatting>
  <conditionalFormatting sqref="C32:D34 C8:D16 C22:C26">
    <cfRule type="containsText" dxfId="41" priority="2" operator="containsText" text="X">
      <formula>NOT(ISERROR(SEARCH(("X"),(C8))))</formula>
    </cfRule>
  </conditionalFormatting>
  <conditionalFormatting sqref="C32:D34">
    <cfRule type="containsText" dxfId="40" priority="8" operator="containsText" text="X">
      <formula>NOT(ISERROR(SEARCH(("X"),(C32))))</formula>
    </cfRule>
  </conditionalFormatting>
  <pageMargins left="0.7" right="0.7" top="0.75" bottom="0.75" header="0" footer="0"/>
  <pageSetup paperSize="9" scale="52" orientation="portrait" r:id="rId1"/>
  <drawing r:id="rId2"/>
  <tableParts count="3">
    <tablePart r:id="rId3"/>
    <tablePart r:id="rId4"/>
    <tablePart r:id="rId5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00"/>
  <sheetViews>
    <sheetView tabSelected="1" view="pageBreakPreview" zoomScale="60" zoomScaleNormal="100" workbookViewId="0"/>
  </sheetViews>
  <sheetFormatPr baseColWidth="10" defaultColWidth="14.42578125" defaultRowHeight="15" customHeight="1" x14ac:dyDescent="0.25"/>
  <cols>
    <col min="1" max="1" width="10.7109375" customWidth="1"/>
    <col min="2" max="2" width="34.5703125" customWidth="1"/>
    <col min="3" max="3" width="16.140625" customWidth="1"/>
    <col min="4" max="4" width="32.5703125" customWidth="1"/>
    <col min="5" max="24" width="10.7109375" customWidth="1"/>
  </cols>
  <sheetData>
    <row r="1" spans="1:26" ht="51" customHeight="1" x14ac:dyDescent="0.25">
      <c r="A1" s="23"/>
      <c r="B1" s="24" t="s">
        <v>1</v>
      </c>
      <c r="C1" s="83" t="s">
        <v>2</v>
      </c>
      <c r="D1" s="69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</row>
    <row r="2" spans="1:26" ht="14.25" customHeight="1" x14ac:dyDescent="0.3">
      <c r="B2" s="25" t="s">
        <v>96</v>
      </c>
      <c r="C2" s="84">
        <v>46305</v>
      </c>
      <c r="D2" s="69"/>
    </row>
    <row r="3" spans="1:26" ht="14.25" customHeight="1" x14ac:dyDescent="0.3">
      <c r="B3" s="25" t="s">
        <v>97</v>
      </c>
      <c r="C3" s="85" t="s">
        <v>99</v>
      </c>
      <c r="D3" s="69"/>
    </row>
    <row r="4" spans="1:26" ht="14.25" customHeight="1" x14ac:dyDescent="0.3">
      <c r="B4" s="25" t="s">
        <v>100</v>
      </c>
      <c r="C4" s="85" t="s">
        <v>136</v>
      </c>
      <c r="D4" s="69"/>
    </row>
    <row r="5" spans="1:26" ht="14.25" customHeight="1" x14ac:dyDescent="0.25"/>
    <row r="6" spans="1:26" ht="23.25" x14ac:dyDescent="0.25">
      <c r="A6" s="81" t="s">
        <v>103</v>
      </c>
      <c r="B6" s="69"/>
      <c r="C6" s="69"/>
      <c r="D6" s="69"/>
    </row>
    <row r="7" spans="1:26" ht="18.75" x14ac:dyDescent="0.25">
      <c r="A7" s="26" t="s">
        <v>104</v>
      </c>
      <c r="B7" s="27" t="s">
        <v>106</v>
      </c>
      <c r="C7" s="27" t="s">
        <v>107</v>
      </c>
      <c r="D7" s="28" t="s">
        <v>108</v>
      </c>
    </row>
    <row r="8" spans="1:26" ht="30" x14ac:dyDescent="0.25">
      <c r="A8" s="29">
        <v>1</v>
      </c>
      <c r="B8" s="30" t="s">
        <v>109</v>
      </c>
      <c r="C8" s="31" t="s">
        <v>110</v>
      </c>
      <c r="D8" s="32"/>
    </row>
    <row r="9" spans="1:26" ht="30" x14ac:dyDescent="0.25">
      <c r="A9" s="29">
        <v>2</v>
      </c>
      <c r="B9" s="30" t="s">
        <v>111</v>
      </c>
      <c r="C9" s="31"/>
      <c r="D9" s="33" t="s">
        <v>110</v>
      </c>
    </row>
    <row r="10" spans="1:26" ht="60" x14ac:dyDescent="0.25">
      <c r="A10" s="29">
        <v>3</v>
      </c>
      <c r="B10" s="30" t="s">
        <v>112</v>
      </c>
      <c r="C10" s="31" t="s">
        <v>110</v>
      </c>
      <c r="D10" s="32"/>
    </row>
    <row r="11" spans="1:26" ht="30" x14ac:dyDescent="0.25">
      <c r="A11" s="29">
        <v>4</v>
      </c>
      <c r="B11" s="30" t="s">
        <v>113</v>
      </c>
      <c r="C11" s="31" t="s">
        <v>110</v>
      </c>
      <c r="D11" s="32"/>
    </row>
    <row r="12" spans="1:26" ht="30" x14ac:dyDescent="0.25">
      <c r="A12" s="29">
        <v>5</v>
      </c>
      <c r="B12" s="30" t="s">
        <v>114</v>
      </c>
      <c r="C12" s="31" t="s">
        <v>110</v>
      </c>
      <c r="D12" s="32"/>
    </row>
    <row r="13" spans="1:26" ht="30" x14ac:dyDescent="0.25">
      <c r="A13" s="29">
        <v>6</v>
      </c>
      <c r="B13" s="30" t="s">
        <v>115</v>
      </c>
      <c r="C13" s="31" t="s">
        <v>110</v>
      </c>
      <c r="D13" s="32"/>
    </row>
    <row r="14" spans="1:26" ht="30" x14ac:dyDescent="0.25">
      <c r="A14" s="29">
        <v>7</v>
      </c>
      <c r="B14" s="30" t="s">
        <v>116</v>
      </c>
      <c r="C14" s="49" t="s">
        <v>110</v>
      </c>
      <c r="D14" s="31"/>
    </row>
    <row r="15" spans="1:26" ht="45" x14ac:dyDescent="0.25">
      <c r="A15" s="29">
        <v>8</v>
      </c>
      <c r="B15" s="30" t="s">
        <v>117</v>
      </c>
      <c r="C15" s="31" t="s">
        <v>110</v>
      </c>
      <c r="D15" s="32"/>
    </row>
    <row r="16" spans="1:26" ht="75" x14ac:dyDescent="0.25">
      <c r="A16" s="34">
        <v>9</v>
      </c>
      <c r="B16" s="35" t="s">
        <v>118</v>
      </c>
      <c r="C16" s="36"/>
      <c r="D16" s="36" t="s">
        <v>110</v>
      </c>
    </row>
    <row r="17" spans="1:4" ht="18.75" x14ac:dyDescent="0.25">
      <c r="A17" s="80" t="s">
        <v>119</v>
      </c>
      <c r="B17" s="69"/>
      <c r="C17" s="38">
        <f>COUNTA('Hoja 3'!$C$8:$C$16)</f>
        <v>7</v>
      </c>
      <c r="D17" s="38">
        <f>COUNTA('Hoja 3'!$D$8:$D$16)</f>
        <v>2</v>
      </c>
    </row>
    <row r="18" spans="1:4" ht="18.75" x14ac:dyDescent="0.25">
      <c r="A18" s="80" t="s">
        <v>120</v>
      </c>
      <c r="B18" s="69"/>
      <c r="C18" s="39">
        <f t="shared" ref="C18:D18" si="0">C17/9</f>
        <v>0.77777777777777779</v>
      </c>
      <c r="D18" s="39">
        <f t="shared" si="0"/>
        <v>0.22222222222222221</v>
      </c>
    </row>
    <row r="19" spans="1:4" ht="14.25" customHeight="1" x14ac:dyDescent="0.25">
      <c r="A19" s="37"/>
      <c r="B19" s="37"/>
      <c r="C19" s="39"/>
      <c r="D19" s="38"/>
    </row>
    <row r="20" spans="1:4" ht="23.25" x14ac:dyDescent="0.25">
      <c r="A20" s="86" t="s">
        <v>121</v>
      </c>
      <c r="B20" s="87"/>
      <c r="C20" s="87"/>
      <c r="D20" s="87"/>
    </row>
    <row r="21" spans="1:4" ht="21" x14ac:dyDescent="0.25">
      <c r="A21" s="40" t="s">
        <v>104</v>
      </c>
      <c r="B21" s="41" t="s">
        <v>106</v>
      </c>
      <c r="C21" s="42" t="s">
        <v>107</v>
      </c>
      <c r="D21" s="43" t="s">
        <v>108</v>
      </c>
    </row>
    <row r="22" spans="1:4" ht="30" x14ac:dyDescent="0.25">
      <c r="A22" s="29">
        <v>1</v>
      </c>
      <c r="B22" s="30" t="s">
        <v>122</v>
      </c>
      <c r="C22" s="36" t="s">
        <v>110</v>
      </c>
      <c r="D22" s="32"/>
    </row>
    <row r="23" spans="1:4" ht="30" x14ac:dyDescent="0.25">
      <c r="A23" s="29">
        <v>2</v>
      </c>
      <c r="B23" s="30" t="s">
        <v>123</v>
      </c>
      <c r="C23" s="36" t="s">
        <v>110</v>
      </c>
      <c r="D23" s="32"/>
    </row>
    <row r="24" spans="1:4" ht="30" x14ac:dyDescent="0.25">
      <c r="A24" s="29">
        <v>3</v>
      </c>
      <c r="B24" s="30" t="s">
        <v>124</v>
      </c>
      <c r="C24" s="36"/>
      <c r="D24" s="44" t="s">
        <v>110</v>
      </c>
    </row>
    <row r="25" spans="1:4" ht="45" x14ac:dyDescent="0.25">
      <c r="A25" s="29">
        <v>4</v>
      </c>
      <c r="B25" s="30" t="s">
        <v>125</v>
      </c>
      <c r="C25" s="36" t="s">
        <v>110</v>
      </c>
      <c r="D25" s="32"/>
    </row>
    <row r="26" spans="1:4" ht="30" x14ac:dyDescent="0.25">
      <c r="A26" s="34">
        <v>5</v>
      </c>
      <c r="B26" s="35" t="s">
        <v>126</v>
      </c>
      <c r="C26" s="36" t="s">
        <v>110</v>
      </c>
      <c r="D26" s="45"/>
    </row>
    <row r="27" spans="1:4" ht="14.25" customHeight="1" x14ac:dyDescent="0.25">
      <c r="A27" s="80" t="s">
        <v>119</v>
      </c>
      <c r="B27" s="69"/>
      <c r="C27" s="38">
        <f>COUNTA('Hoja 3'!$C$22:$C$26)</f>
        <v>4</v>
      </c>
      <c r="D27" s="38">
        <f>COUNTA('Hoja 3'!$D$22:$D$26)</f>
        <v>1</v>
      </c>
    </row>
    <row r="28" spans="1:4" ht="14.25" customHeight="1" x14ac:dyDescent="0.25">
      <c r="A28" s="80" t="s">
        <v>120</v>
      </c>
      <c r="B28" s="69"/>
      <c r="C28" s="39">
        <f t="shared" ref="C28:D28" si="1">C27/5</f>
        <v>0.8</v>
      </c>
      <c r="D28" s="39">
        <f t="shared" si="1"/>
        <v>0.2</v>
      </c>
    </row>
    <row r="29" spans="1:4" ht="14.25" customHeight="1" x14ac:dyDescent="0.25">
      <c r="A29" s="37"/>
      <c r="B29" s="37"/>
      <c r="C29" s="39"/>
      <c r="D29" s="38"/>
    </row>
    <row r="30" spans="1:4" ht="23.25" x14ac:dyDescent="0.25">
      <c r="A30" s="81" t="s">
        <v>127</v>
      </c>
      <c r="B30" s="69"/>
      <c r="C30" s="69"/>
      <c r="D30" s="69"/>
    </row>
    <row r="31" spans="1:4" ht="21" x14ac:dyDescent="0.25">
      <c r="A31" s="40" t="s">
        <v>104</v>
      </c>
      <c r="B31" s="41" t="s">
        <v>106</v>
      </c>
      <c r="C31" s="42" t="s">
        <v>107</v>
      </c>
      <c r="D31" s="43" t="s">
        <v>108</v>
      </c>
    </row>
    <row r="32" spans="1:4" ht="30" x14ac:dyDescent="0.25">
      <c r="A32" s="29">
        <v>1</v>
      </c>
      <c r="B32" s="30" t="s">
        <v>128</v>
      </c>
      <c r="C32" s="47" t="s">
        <v>129</v>
      </c>
      <c r="D32" s="36"/>
    </row>
    <row r="33" spans="1:4" ht="45" x14ac:dyDescent="0.25">
      <c r="A33" s="29">
        <v>2</v>
      </c>
      <c r="B33" s="30" t="s">
        <v>130</v>
      </c>
      <c r="C33" s="47" t="s">
        <v>129</v>
      </c>
      <c r="D33" s="36"/>
    </row>
    <row r="34" spans="1:4" ht="45" x14ac:dyDescent="0.25">
      <c r="A34" s="34">
        <v>3</v>
      </c>
      <c r="B34" s="35" t="s">
        <v>131</v>
      </c>
      <c r="C34" s="36" t="s">
        <v>110</v>
      </c>
      <c r="D34" s="36"/>
    </row>
    <row r="35" spans="1:4" ht="14.25" customHeight="1" x14ac:dyDescent="0.25">
      <c r="A35" s="80" t="s">
        <v>119</v>
      </c>
      <c r="B35" s="69"/>
      <c r="C35" s="8">
        <f>COUNTA('Hoja 3'!$C$32:$C$34)</f>
        <v>3</v>
      </c>
      <c r="D35" s="8">
        <f>COUNTA('Hoja 3'!$D$32:$D$34)</f>
        <v>0</v>
      </c>
    </row>
    <row r="36" spans="1:4" ht="14.25" customHeight="1" x14ac:dyDescent="0.25">
      <c r="A36" s="80" t="s">
        <v>120</v>
      </c>
      <c r="B36" s="69"/>
      <c r="C36" s="39">
        <f t="shared" ref="C36:D36" si="2">C35/3</f>
        <v>1</v>
      </c>
      <c r="D36" s="39">
        <f t="shared" si="2"/>
        <v>0</v>
      </c>
    </row>
    <row r="37" spans="1:4" ht="14.25" customHeight="1" x14ac:dyDescent="0.25"/>
    <row r="38" spans="1:4" ht="14.25" customHeight="1" x14ac:dyDescent="0.25"/>
    <row r="39" spans="1:4" ht="14.25" customHeight="1" x14ac:dyDescent="0.25"/>
    <row r="40" spans="1:4" ht="14.25" customHeight="1" x14ac:dyDescent="0.3">
      <c r="A40" s="82" t="s">
        <v>132</v>
      </c>
      <c r="B40" s="69"/>
      <c r="C40" s="69"/>
    </row>
    <row r="41" spans="1:4" ht="30" customHeight="1" x14ac:dyDescent="0.25">
      <c r="B41" s="23" t="s">
        <v>133</v>
      </c>
      <c r="C41" s="38">
        <v>78</v>
      </c>
    </row>
    <row r="42" spans="1:4" ht="30" customHeight="1" x14ac:dyDescent="0.25">
      <c r="B42" s="23" t="s">
        <v>121</v>
      </c>
      <c r="C42" s="48">
        <v>80</v>
      </c>
    </row>
    <row r="43" spans="1:4" ht="30" customHeight="1" x14ac:dyDescent="0.25">
      <c r="B43" s="23" t="s">
        <v>127</v>
      </c>
      <c r="C43" s="48">
        <v>100</v>
      </c>
    </row>
    <row r="44" spans="1:4" ht="14.25" customHeight="1" x14ac:dyDescent="0.25">
      <c r="C44" s="38"/>
    </row>
    <row r="45" spans="1:4" ht="14.25" customHeight="1" x14ac:dyDescent="0.25">
      <c r="C45" s="38"/>
    </row>
    <row r="46" spans="1:4" ht="14.25" customHeight="1" x14ac:dyDescent="0.25"/>
    <row r="47" spans="1:4" ht="14.25" customHeight="1" x14ac:dyDescent="0.25"/>
    <row r="48" spans="1:4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4">
    <mergeCell ref="A36:B36"/>
    <mergeCell ref="A40:C40"/>
    <mergeCell ref="C1:D1"/>
    <mergeCell ref="C2:D2"/>
    <mergeCell ref="C3:D3"/>
    <mergeCell ref="C4:D4"/>
    <mergeCell ref="A6:D6"/>
    <mergeCell ref="A17:B17"/>
    <mergeCell ref="A20:D20"/>
    <mergeCell ref="A18:B18"/>
    <mergeCell ref="A27:B27"/>
    <mergeCell ref="A28:B28"/>
    <mergeCell ref="A30:D30"/>
    <mergeCell ref="A35:B35"/>
  </mergeCells>
  <conditionalFormatting sqref="A32:D34">
    <cfRule type="containsText" dxfId="39" priority="1" operator="containsText" text="X">
      <formula>NOT(ISERROR(SEARCH(("X"),(A32))))</formula>
    </cfRule>
  </conditionalFormatting>
  <conditionalFormatting sqref="C8:D16 C22:C26 C32:D34">
    <cfRule type="containsText" dxfId="38" priority="3" operator="containsText" text="X">
      <formula>NOT(ISERROR(SEARCH(("X"),(C8))))</formula>
    </cfRule>
    <cfRule type="containsText" dxfId="37" priority="4" operator="containsText" text="X">
      <formula>NOT(ISERROR(SEARCH(("X"),(C8))))</formula>
    </cfRule>
    <cfRule type="containsText" dxfId="36" priority="5" operator="containsText" text="X">
      <formula>NOT(ISERROR(SEARCH(("X"),(C8))))</formula>
    </cfRule>
  </conditionalFormatting>
  <conditionalFormatting sqref="C22:D26">
    <cfRule type="containsText" dxfId="35" priority="6" operator="containsText" text="X">
      <formula>NOT(ISERROR(SEARCH(("X"),(C22))))</formula>
    </cfRule>
    <cfRule type="containsText" dxfId="34" priority="7" operator="containsText" text="X">
      <formula>NOT(ISERROR(SEARCH(("X"),(C22))))</formula>
    </cfRule>
  </conditionalFormatting>
  <conditionalFormatting sqref="C32:D34 C8:D16 C22:C26">
    <cfRule type="containsText" dxfId="33" priority="2" operator="containsText" text="X">
      <formula>NOT(ISERROR(SEARCH(("X"),(C8))))</formula>
    </cfRule>
  </conditionalFormatting>
  <conditionalFormatting sqref="C32:D34">
    <cfRule type="containsText" dxfId="32" priority="8" operator="containsText" text="X">
      <formula>NOT(ISERROR(SEARCH(("X"),(C32))))</formula>
    </cfRule>
  </conditionalFormatting>
  <pageMargins left="0.7" right="0.7" top="0.75" bottom="0.75" header="0" footer="0"/>
  <pageSetup paperSize="9" scale="52" orientation="portrait" r:id="rId1"/>
  <drawing r:id="rId2"/>
  <tableParts count="3">
    <tablePart r:id="rId3"/>
    <tablePart r:id="rId4"/>
    <tablePart r:id="rId5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000"/>
  <sheetViews>
    <sheetView view="pageBreakPreview" zoomScale="60" zoomScaleNormal="100" workbookViewId="0"/>
  </sheetViews>
  <sheetFormatPr baseColWidth="10" defaultColWidth="14.42578125" defaultRowHeight="15" customHeight="1" x14ac:dyDescent="0.25"/>
  <cols>
    <col min="1" max="1" width="10.7109375" customWidth="1"/>
    <col min="2" max="2" width="34.5703125" customWidth="1"/>
    <col min="3" max="3" width="16.140625" customWidth="1"/>
    <col min="4" max="4" width="24.28515625" customWidth="1"/>
    <col min="5" max="24" width="10.7109375" customWidth="1"/>
  </cols>
  <sheetData>
    <row r="1" spans="1:26" ht="51" customHeight="1" x14ac:dyDescent="0.25">
      <c r="A1" s="23"/>
      <c r="B1" s="24" t="s">
        <v>1</v>
      </c>
      <c r="C1" s="83" t="s">
        <v>2</v>
      </c>
      <c r="D1" s="69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</row>
    <row r="2" spans="1:26" ht="14.25" customHeight="1" x14ac:dyDescent="0.3">
      <c r="B2" s="25" t="s">
        <v>96</v>
      </c>
      <c r="C2" s="84">
        <v>46306</v>
      </c>
      <c r="D2" s="69"/>
    </row>
    <row r="3" spans="1:26" ht="14.25" customHeight="1" x14ac:dyDescent="0.3">
      <c r="B3" s="25" t="s">
        <v>97</v>
      </c>
      <c r="C3" s="85" t="s">
        <v>105</v>
      </c>
      <c r="D3" s="69"/>
    </row>
    <row r="4" spans="1:26" ht="14.25" customHeight="1" x14ac:dyDescent="0.3">
      <c r="B4" s="25" t="s">
        <v>100</v>
      </c>
      <c r="C4" s="85" t="s">
        <v>137</v>
      </c>
      <c r="D4" s="69"/>
    </row>
    <row r="5" spans="1:26" ht="14.25" customHeight="1" x14ac:dyDescent="0.25"/>
    <row r="6" spans="1:26" ht="80.25" customHeight="1" x14ac:dyDescent="0.25">
      <c r="A6" s="81" t="s">
        <v>103</v>
      </c>
      <c r="B6" s="69"/>
      <c r="C6" s="69"/>
      <c r="D6" s="69"/>
    </row>
    <row r="7" spans="1:26" ht="20.25" customHeight="1" x14ac:dyDescent="0.25">
      <c r="A7" s="26" t="s">
        <v>104</v>
      </c>
      <c r="B7" s="27" t="s">
        <v>106</v>
      </c>
      <c r="C7" s="27" t="s">
        <v>107</v>
      </c>
      <c r="D7" s="28" t="s">
        <v>108</v>
      </c>
    </row>
    <row r="8" spans="1:26" ht="28.5" customHeight="1" x14ac:dyDescent="0.25">
      <c r="A8" s="29">
        <v>1</v>
      </c>
      <c r="B8" s="30" t="s">
        <v>109</v>
      </c>
      <c r="C8" s="31" t="s">
        <v>110</v>
      </c>
      <c r="D8" s="32"/>
    </row>
    <row r="9" spans="1:26" ht="33.75" customHeight="1" x14ac:dyDescent="0.25">
      <c r="A9" s="29">
        <v>2</v>
      </c>
      <c r="B9" s="30" t="s">
        <v>111</v>
      </c>
      <c r="C9" s="31"/>
      <c r="D9" s="33" t="s">
        <v>110</v>
      </c>
    </row>
    <row r="10" spans="1:26" ht="74.25" customHeight="1" x14ac:dyDescent="0.25">
      <c r="A10" s="29">
        <v>3</v>
      </c>
      <c r="B10" s="30" t="s">
        <v>112</v>
      </c>
      <c r="C10" s="31" t="s">
        <v>110</v>
      </c>
      <c r="D10" s="32"/>
    </row>
    <row r="11" spans="1:26" ht="52.5" customHeight="1" x14ac:dyDescent="0.25">
      <c r="A11" s="29">
        <v>4</v>
      </c>
      <c r="B11" s="30" t="s">
        <v>113</v>
      </c>
      <c r="C11" s="31" t="s">
        <v>110</v>
      </c>
      <c r="D11" s="32"/>
    </row>
    <row r="12" spans="1:26" ht="40.5" customHeight="1" x14ac:dyDescent="0.25">
      <c r="A12" s="29">
        <v>5</v>
      </c>
      <c r="B12" s="30" t="s">
        <v>114</v>
      </c>
      <c r="C12" s="31" t="s">
        <v>110</v>
      </c>
      <c r="D12" s="32"/>
    </row>
    <row r="13" spans="1:26" ht="41.25" customHeight="1" x14ac:dyDescent="0.25">
      <c r="A13" s="29">
        <v>6</v>
      </c>
      <c r="B13" s="30" t="s">
        <v>115</v>
      </c>
      <c r="C13" s="31" t="s">
        <v>110</v>
      </c>
      <c r="D13" s="32"/>
    </row>
    <row r="14" spans="1:26" ht="39" customHeight="1" x14ac:dyDescent="0.25">
      <c r="A14" s="29">
        <v>7</v>
      </c>
      <c r="B14" s="30" t="s">
        <v>116</v>
      </c>
      <c r="C14" s="31" t="s">
        <v>110</v>
      </c>
      <c r="D14" s="32"/>
    </row>
    <row r="15" spans="1:26" ht="45.75" customHeight="1" x14ac:dyDescent="0.25">
      <c r="A15" s="29">
        <v>8</v>
      </c>
      <c r="B15" s="30" t="s">
        <v>117</v>
      </c>
      <c r="C15" s="31" t="s">
        <v>110</v>
      </c>
      <c r="D15" s="32"/>
    </row>
    <row r="16" spans="1:26" ht="77.25" customHeight="1" x14ac:dyDescent="0.25">
      <c r="A16" s="34">
        <v>9</v>
      </c>
      <c r="B16" s="35" t="s">
        <v>118</v>
      </c>
      <c r="C16" s="36"/>
      <c r="D16" s="36" t="s">
        <v>110</v>
      </c>
    </row>
    <row r="17" spans="1:4" ht="14.25" customHeight="1" x14ac:dyDescent="0.25">
      <c r="A17" s="80" t="s">
        <v>119</v>
      </c>
      <c r="B17" s="69"/>
      <c r="C17" s="38">
        <f>COUNTA('Hoja 4'!$C$8:$C$16)</f>
        <v>7</v>
      </c>
      <c r="D17" s="38">
        <f>COUNTA('Hoja 4'!$D$8:$D$16)</f>
        <v>2</v>
      </c>
    </row>
    <row r="18" spans="1:4" ht="14.25" customHeight="1" x14ac:dyDescent="0.25">
      <c r="A18" s="80" t="s">
        <v>120</v>
      </c>
      <c r="B18" s="69"/>
      <c r="C18" s="39">
        <f t="shared" ref="C18:D18" si="0">C17/9</f>
        <v>0.77777777777777779</v>
      </c>
      <c r="D18" s="39">
        <f t="shared" si="0"/>
        <v>0.22222222222222221</v>
      </c>
    </row>
    <row r="19" spans="1:4" ht="14.25" customHeight="1" x14ac:dyDescent="0.25">
      <c r="A19" s="37"/>
      <c r="B19" s="37"/>
      <c r="C19" s="39"/>
      <c r="D19" s="38"/>
    </row>
    <row r="20" spans="1:4" ht="51" customHeight="1" x14ac:dyDescent="0.25">
      <c r="A20" s="86" t="s">
        <v>121</v>
      </c>
      <c r="B20" s="87"/>
      <c r="C20" s="87"/>
      <c r="D20" s="87"/>
    </row>
    <row r="21" spans="1:4" ht="35.25" customHeight="1" x14ac:dyDescent="0.25">
      <c r="A21" s="40" t="s">
        <v>104</v>
      </c>
      <c r="B21" s="41" t="s">
        <v>106</v>
      </c>
      <c r="C21" s="42" t="s">
        <v>107</v>
      </c>
      <c r="D21" s="43" t="s">
        <v>108</v>
      </c>
    </row>
    <row r="22" spans="1:4" ht="44.25" customHeight="1" x14ac:dyDescent="0.25">
      <c r="A22" s="29">
        <v>1</v>
      </c>
      <c r="B22" s="30" t="s">
        <v>122</v>
      </c>
      <c r="C22" s="36" t="s">
        <v>110</v>
      </c>
      <c r="D22" s="32"/>
    </row>
    <row r="23" spans="1:4" ht="48.75" customHeight="1" x14ac:dyDescent="0.25">
      <c r="A23" s="29">
        <v>2</v>
      </c>
      <c r="B23" s="30" t="s">
        <v>123</v>
      </c>
      <c r="C23" s="36" t="s">
        <v>110</v>
      </c>
      <c r="D23" s="32"/>
    </row>
    <row r="24" spans="1:4" ht="51" customHeight="1" x14ac:dyDescent="0.25">
      <c r="A24" s="29">
        <v>3</v>
      </c>
      <c r="B24" s="30" t="s">
        <v>124</v>
      </c>
      <c r="C24" s="36"/>
      <c r="D24" s="33" t="s">
        <v>110</v>
      </c>
    </row>
    <row r="25" spans="1:4" ht="55.5" customHeight="1" x14ac:dyDescent="0.25">
      <c r="A25" s="29">
        <v>4</v>
      </c>
      <c r="B25" s="30" t="s">
        <v>125</v>
      </c>
      <c r="C25" s="36" t="s">
        <v>110</v>
      </c>
      <c r="D25" s="32"/>
    </row>
    <row r="26" spans="1:4" ht="63" customHeight="1" x14ac:dyDescent="0.25">
      <c r="A26" s="34">
        <v>5</v>
      </c>
      <c r="B26" s="35" t="s">
        <v>126</v>
      </c>
      <c r="C26" s="36" t="s">
        <v>110</v>
      </c>
      <c r="D26" s="45"/>
    </row>
    <row r="27" spans="1:4" ht="14.25" customHeight="1" x14ac:dyDescent="0.25">
      <c r="A27" s="80" t="s">
        <v>119</v>
      </c>
      <c r="B27" s="69"/>
      <c r="C27" s="38">
        <f>COUNTA('Hoja 4'!$C$22:$C$26)</f>
        <v>4</v>
      </c>
      <c r="D27" s="38">
        <f>COUNTA('Hoja 4'!$D$22:$D$26)</f>
        <v>1</v>
      </c>
    </row>
    <row r="28" spans="1:4" ht="14.25" customHeight="1" x14ac:dyDescent="0.25">
      <c r="A28" s="80" t="s">
        <v>120</v>
      </c>
      <c r="B28" s="69"/>
      <c r="C28" s="39">
        <f t="shared" ref="C28:D28" si="1">C27/5</f>
        <v>0.8</v>
      </c>
      <c r="D28" s="39">
        <f t="shared" si="1"/>
        <v>0.2</v>
      </c>
    </row>
    <row r="29" spans="1:4" ht="14.25" customHeight="1" x14ac:dyDescent="0.25">
      <c r="A29" s="37"/>
      <c r="B29" s="37"/>
      <c r="C29" s="39"/>
      <c r="D29" s="38"/>
    </row>
    <row r="30" spans="1:4" ht="45.75" customHeight="1" x14ac:dyDescent="0.25">
      <c r="A30" s="81" t="s">
        <v>127</v>
      </c>
      <c r="B30" s="69"/>
      <c r="C30" s="69"/>
      <c r="D30" s="69"/>
    </row>
    <row r="31" spans="1:4" ht="36.75" customHeight="1" x14ac:dyDescent="0.25">
      <c r="A31" s="40" t="s">
        <v>104</v>
      </c>
      <c r="B31" s="41" t="s">
        <v>106</v>
      </c>
      <c r="C31" s="42" t="s">
        <v>107</v>
      </c>
      <c r="D31" s="43" t="s">
        <v>108</v>
      </c>
    </row>
    <row r="32" spans="1:4" ht="41.25" customHeight="1" x14ac:dyDescent="0.25">
      <c r="A32" s="29">
        <v>1</v>
      </c>
      <c r="B32" s="30" t="s">
        <v>128</v>
      </c>
      <c r="C32" s="47" t="s">
        <v>129</v>
      </c>
      <c r="D32" s="47"/>
    </row>
    <row r="33" spans="1:4" ht="54.75" customHeight="1" x14ac:dyDescent="0.25">
      <c r="A33" s="29">
        <v>2</v>
      </c>
      <c r="B33" s="30" t="s">
        <v>130</v>
      </c>
      <c r="C33" s="47" t="s">
        <v>129</v>
      </c>
      <c r="D33" s="47"/>
    </row>
    <row r="34" spans="1:4" ht="45" customHeight="1" x14ac:dyDescent="0.25">
      <c r="A34" s="34">
        <v>3</v>
      </c>
      <c r="B34" s="35" t="s">
        <v>131</v>
      </c>
      <c r="C34" s="36" t="s">
        <v>110</v>
      </c>
      <c r="D34" s="36"/>
    </row>
    <row r="35" spans="1:4" ht="14.25" customHeight="1" x14ac:dyDescent="0.25">
      <c r="A35" s="80" t="s">
        <v>119</v>
      </c>
      <c r="B35" s="69"/>
      <c r="C35" s="8">
        <f>COUNTA('Hoja 4'!$C$32:$C$34)</f>
        <v>3</v>
      </c>
      <c r="D35" s="8">
        <f>COUNTA('Hoja 4'!$D$32:$D$34)</f>
        <v>0</v>
      </c>
    </row>
    <row r="36" spans="1:4" ht="14.25" customHeight="1" x14ac:dyDescent="0.25">
      <c r="A36" s="80" t="s">
        <v>120</v>
      </c>
      <c r="B36" s="69"/>
      <c r="C36" s="39">
        <f t="shared" ref="C36:D36" si="2">C35/3</f>
        <v>1</v>
      </c>
      <c r="D36" s="39">
        <f t="shared" si="2"/>
        <v>0</v>
      </c>
    </row>
    <row r="37" spans="1:4" ht="14.25" customHeight="1" x14ac:dyDescent="0.25"/>
    <row r="38" spans="1:4" ht="14.25" customHeight="1" x14ac:dyDescent="0.25"/>
    <row r="39" spans="1:4" ht="14.25" customHeight="1" x14ac:dyDescent="0.25"/>
    <row r="40" spans="1:4" ht="14.25" customHeight="1" x14ac:dyDescent="0.3">
      <c r="A40" s="82" t="s">
        <v>132</v>
      </c>
      <c r="B40" s="69"/>
      <c r="C40" s="69"/>
    </row>
    <row r="41" spans="1:4" ht="30" customHeight="1" x14ac:dyDescent="0.25">
      <c r="B41" s="23" t="s">
        <v>133</v>
      </c>
      <c r="C41" s="39">
        <f>C18</f>
        <v>0.77777777777777779</v>
      </c>
    </row>
    <row r="42" spans="1:4" ht="30" customHeight="1" x14ac:dyDescent="0.25">
      <c r="B42" s="23" t="s">
        <v>121</v>
      </c>
      <c r="C42" s="39">
        <f>C28</f>
        <v>0.8</v>
      </c>
    </row>
    <row r="43" spans="1:4" ht="30" customHeight="1" x14ac:dyDescent="0.25">
      <c r="B43" s="23" t="s">
        <v>127</v>
      </c>
      <c r="C43" s="39">
        <f>C36</f>
        <v>1</v>
      </c>
    </row>
    <row r="44" spans="1:4" ht="14.25" customHeight="1" x14ac:dyDescent="0.25">
      <c r="C44" s="38"/>
    </row>
    <row r="45" spans="1:4" ht="14.25" customHeight="1" x14ac:dyDescent="0.25">
      <c r="C45" s="38"/>
    </row>
    <row r="46" spans="1:4" ht="14.25" customHeight="1" x14ac:dyDescent="0.25"/>
    <row r="47" spans="1:4" ht="14.25" customHeight="1" x14ac:dyDescent="0.25"/>
    <row r="48" spans="1:4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4">
    <mergeCell ref="A36:B36"/>
    <mergeCell ref="A40:C40"/>
    <mergeCell ref="C1:D1"/>
    <mergeCell ref="C2:D2"/>
    <mergeCell ref="C3:D3"/>
    <mergeCell ref="C4:D4"/>
    <mergeCell ref="A6:D6"/>
    <mergeCell ref="A17:B17"/>
    <mergeCell ref="A20:D20"/>
    <mergeCell ref="A18:B18"/>
    <mergeCell ref="A27:B27"/>
    <mergeCell ref="A28:B28"/>
    <mergeCell ref="A30:D30"/>
    <mergeCell ref="A35:B35"/>
  </mergeCells>
  <conditionalFormatting sqref="A32:D34">
    <cfRule type="containsText" dxfId="31" priority="1" operator="containsText" text="X">
      <formula>NOT(ISERROR(SEARCH(("X"),(A32))))</formula>
    </cfRule>
  </conditionalFormatting>
  <conditionalFormatting sqref="C8:D16 C22:C26 C32:D34">
    <cfRule type="containsText" dxfId="30" priority="3" operator="containsText" text="X">
      <formula>NOT(ISERROR(SEARCH(("X"),(C8))))</formula>
    </cfRule>
    <cfRule type="containsText" dxfId="29" priority="4" operator="containsText" text="X">
      <formula>NOT(ISERROR(SEARCH(("X"),(C8))))</formula>
    </cfRule>
    <cfRule type="containsText" dxfId="28" priority="5" operator="containsText" text="X">
      <formula>NOT(ISERROR(SEARCH(("X"),(C8))))</formula>
    </cfRule>
  </conditionalFormatting>
  <conditionalFormatting sqref="C22:D26">
    <cfRule type="containsText" dxfId="27" priority="6" operator="containsText" text="X">
      <formula>NOT(ISERROR(SEARCH(("X"),(C22))))</formula>
    </cfRule>
    <cfRule type="containsText" dxfId="26" priority="7" operator="containsText" text="X">
      <formula>NOT(ISERROR(SEARCH(("X"),(C22))))</formula>
    </cfRule>
  </conditionalFormatting>
  <conditionalFormatting sqref="C32:D34 C8:D16 C22:C26">
    <cfRule type="containsText" dxfId="25" priority="2" operator="containsText" text="X">
      <formula>NOT(ISERROR(SEARCH(("X"),(C8))))</formula>
    </cfRule>
  </conditionalFormatting>
  <conditionalFormatting sqref="C32:D34">
    <cfRule type="containsText" dxfId="24" priority="8" operator="containsText" text="X">
      <formula>NOT(ISERROR(SEARCH(("X"),(C32))))</formula>
    </cfRule>
  </conditionalFormatting>
  <pageMargins left="0.7" right="0.7" top="0.75" bottom="0.75" header="0" footer="0"/>
  <pageSetup paperSize="9" scale="51" orientation="portrait" r:id="rId1"/>
  <drawing r:id="rId2"/>
  <tableParts count="3">
    <tablePart r:id="rId3"/>
    <tablePart r:id="rId4"/>
    <tablePart r:id="rId5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1000"/>
  <sheetViews>
    <sheetView view="pageBreakPreview" zoomScale="60" zoomScaleNormal="100" workbookViewId="0">
      <selection activeCell="C8" sqref="C8:C16"/>
    </sheetView>
  </sheetViews>
  <sheetFormatPr baseColWidth="10" defaultColWidth="14.42578125" defaultRowHeight="15" customHeight="1" x14ac:dyDescent="0.25"/>
  <cols>
    <col min="1" max="1" width="10.7109375" customWidth="1"/>
    <col min="2" max="2" width="34.5703125" customWidth="1"/>
    <col min="3" max="3" width="16.140625" customWidth="1"/>
    <col min="4" max="4" width="32.5703125" customWidth="1"/>
    <col min="5" max="24" width="10.7109375" customWidth="1"/>
  </cols>
  <sheetData>
    <row r="1" spans="1:26" ht="51" customHeight="1" x14ac:dyDescent="0.25">
      <c r="A1" s="23"/>
      <c r="B1" s="24" t="s">
        <v>1</v>
      </c>
      <c r="C1" s="83" t="s">
        <v>2</v>
      </c>
      <c r="D1" s="69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</row>
    <row r="2" spans="1:26" ht="14.25" customHeight="1" x14ac:dyDescent="0.3">
      <c r="B2" s="25" t="s">
        <v>96</v>
      </c>
      <c r="C2" s="84">
        <v>46299</v>
      </c>
      <c r="D2" s="69"/>
    </row>
    <row r="3" spans="1:26" ht="14.25" customHeight="1" x14ac:dyDescent="0.3">
      <c r="B3" s="25" t="s">
        <v>97</v>
      </c>
      <c r="C3" s="85" t="s">
        <v>98</v>
      </c>
      <c r="D3" s="69"/>
    </row>
    <row r="4" spans="1:26" ht="14.25" customHeight="1" x14ac:dyDescent="0.3">
      <c r="B4" s="25" t="s">
        <v>100</v>
      </c>
      <c r="C4" s="85" t="s">
        <v>138</v>
      </c>
      <c r="D4" s="69"/>
    </row>
    <row r="5" spans="1:26" ht="14.25" customHeight="1" x14ac:dyDescent="0.25"/>
    <row r="6" spans="1:26" ht="23.25" x14ac:dyDescent="0.25">
      <c r="A6" s="81" t="s">
        <v>103</v>
      </c>
      <c r="B6" s="69"/>
      <c r="C6" s="69"/>
      <c r="D6" s="69"/>
    </row>
    <row r="7" spans="1:26" ht="18.75" x14ac:dyDescent="0.25">
      <c r="A7" s="26" t="s">
        <v>104</v>
      </c>
      <c r="B7" s="27" t="s">
        <v>106</v>
      </c>
      <c r="C7" s="27" t="s">
        <v>107</v>
      </c>
      <c r="D7" s="28" t="s">
        <v>108</v>
      </c>
    </row>
    <row r="8" spans="1:26" ht="30" x14ac:dyDescent="0.25">
      <c r="A8" s="29">
        <v>1</v>
      </c>
      <c r="B8" s="30" t="s">
        <v>109</v>
      </c>
      <c r="C8" s="31" t="s">
        <v>110</v>
      </c>
      <c r="D8" s="32"/>
    </row>
    <row r="9" spans="1:26" ht="30" x14ac:dyDescent="0.25">
      <c r="A9" s="29">
        <v>2</v>
      </c>
      <c r="B9" s="30" t="s">
        <v>111</v>
      </c>
      <c r="C9" s="31" t="s">
        <v>110</v>
      </c>
      <c r="D9" s="32"/>
    </row>
    <row r="10" spans="1:26" ht="60" x14ac:dyDescent="0.25">
      <c r="A10" s="29">
        <v>3</v>
      </c>
      <c r="B10" s="30" t="s">
        <v>112</v>
      </c>
      <c r="C10" s="31" t="s">
        <v>110</v>
      </c>
      <c r="D10" s="32"/>
    </row>
    <row r="11" spans="1:26" ht="30" x14ac:dyDescent="0.25">
      <c r="A11" s="29">
        <v>4</v>
      </c>
      <c r="B11" s="30" t="s">
        <v>113</v>
      </c>
      <c r="C11" s="31" t="s">
        <v>110</v>
      </c>
      <c r="D11" s="32"/>
    </row>
    <row r="12" spans="1:26" ht="30" x14ac:dyDescent="0.25">
      <c r="A12" s="29">
        <v>5</v>
      </c>
      <c r="B12" s="30" t="s">
        <v>114</v>
      </c>
      <c r="C12" s="31" t="s">
        <v>110</v>
      </c>
      <c r="D12" s="32"/>
    </row>
    <row r="13" spans="1:26" ht="30" x14ac:dyDescent="0.25">
      <c r="A13" s="29">
        <v>6</v>
      </c>
      <c r="B13" s="30" t="s">
        <v>115</v>
      </c>
      <c r="C13" s="31" t="s">
        <v>110</v>
      </c>
      <c r="D13" s="32"/>
    </row>
    <row r="14" spans="1:26" ht="30" x14ac:dyDescent="0.25">
      <c r="A14" s="29">
        <v>7</v>
      </c>
      <c r="B14" s="30" t="s">
        <v>116</v>
      </c>
      <c r="C14" s="31"/>
      <c r="D14" s="31" t="s">
        <v>110</v>
      </c>
    </row>
    <row r="15" spans="1:26" ht="45" x14ac:dyDescent="0.25">
      <c r="A15" s="29">
        <v>8</v>
      </c>
      <c r="B15" s="30" t="s">
        <v>117</v>
      </c>
      <c r="C15" s="31" t="s">
        <v>110</v>
      </c>
      <c r="D15" s="32"/>
    </row>
    <row r="16" spans="1:26" ht="75" x14ac:dyDescent="0.25">
      <c r="A16" s="34">
        <v>9</v>
      </c>
      <c r="B16" s="35" t="s">
        <v>118</v>
      </c>
      <c r="C16" s="36"/>
      <c r="D16" s="36" t="s">
        <v>110</v>
      </c>
    </row>
    <row r="17" spans="1:4" ht="18.75" x14ac:dyDescent="0.25">
      <c r="A17" s="80" t="s">
        <v>119</v>
      </c>
      <c r="B17" s="69"/>
      <c r="C17" s="38">
        <f>COUNTA('Hoja 5'!$C$8:$C$16)</f>
        <v>7</v>
      </c>
      <c r="D17" s="38">
        <f>COUNTA('Hoja 5'!$D$8:$D$16)</f>
        <v>2</v>
      </c>
    </row>
    <row r="18" spans="1:4" ht="18.75" x14ac:dyDescent="0.25">
      <c r="A18" s="80" t="s">
        <v>120</v>
      </c>
      <c r="B18" s="69"/>
      <c r="C18" s="39">
        <f t="shared" ref="C18:D18" si="0">C17/9</f>
        <v>0.77777777777777779</v>
      </c>
      <c r="D18" s="39">
        <f t="shared" si="0"/>
        <v>0.22222222222222221</v>
      </c>
    </row>
    <row r="19" spans="1:4" ht="14.25" customHeight="1" x14ac:dyDescent="0.25">
      <c r="A19" s="37"/>
      <c r="B19" s="37"/>
      <c r="C19" s="39"/>
      <c r="D19" s="38"/>
    </row>
    <row r="20" spans="1:4" ht="23.25" x14ac:dyDescent="0.25">
      <c r="A20" s="86" t="s">
        <v>121</v>
      </c>
      <c r="B20" s="87"/>
      <c r="C20" s="87"/>
      <c r="D20" s="87"/>
    </row>
    <row r="21" spans="1:4" ht="21" x14ac:dyDescent="0.25">
      <c r="A21" s="40" t="s">
        <v>104</v>
      </c>
      <c r="B21" s="41" t="s">
        <v>106</v>
      </c>
      <c r="C21" s="42" t="s">
        <v>107</v>
      </c>
      <c r="D21" s="43" t="s">
        <v>108</v>
      </c>
    </row>
    <row r="22" spans="1:4" ht="30" x14ac:dyDescent="0.25">
      <c r="A22" s="29">
        <v>1</v>
      </c>
      <c r="B22" s="30" t="s">
        <v>122</v>
      </c>
      <c r="C22" s="36" t="s">
        <v>110</v>
      </c>
      <c r="D22" s="32"/>
    </row>
    <row r="23" spans="1:4" ht="30" x14ac:dyDescent="0.25">
      <c r="A23" s="29">
        <v>2</v>
      </c>
      <c r="B23" s="30" t="s">
        <v>123</v>
      </c>
      <c r="C23" s="36" t="s">
        <v>110</v>
      </c>
      <c r="D23" s="32"/>
    </row>
    <row r="24" spans="1:4" ht="30" x14ac:dyDescent="0.25">
      <c r="A24" s="29">
        <v>3</v>
      </c>
      <c r="B24" s="30" t="s">
        <v>124</v>
      </c>
      <c r="C24" s="36"/>
      <c r="D24" s="44" t="s">
        <v>110</v>
      </c>
    </row>
    <row r="25" spans="1:4" ht="45" x14ac:dyDescent="0.25">
      <c r="A25" s="29">
        <v>4</v>
      </c>
      <c r="B25" s="30" t="s">
        <v>125</v>
      </c>
      <c r="C25" s="36" t="s">
        <v>110</v>
      </c>
      <c r="D25" s="32"/>
    </row>
    <row r="26" spans="1:4" ht="30" x14ac:dyDescent="0.25">
      <c r="A26" s="34">
        <v>5</v>
      </c>
      <c r="B26" s="35" t="s">
        <v>126</v>
      </c>
      <c r="C26" s="36" t="s">
        <v>110</v>
      </c>
      <c r="D26" s="45"/>
    </row>
    <row r="27" spans="1:4" ht="14.25" customHeight="1" x14ac:dyDescent="0.25">
      <c r="A27" s="80" t="s">
        <v>119</v>
      </c>
      <c r="B27" s="69"/>
      <c r="C27" s="38">
        <f>COUNTA('Hoja 5'!$C$22:$C$26)</f>
        <v>4</v>
      </c>
      <c r="D27" s="38">
        <f>COUNTA('Hoja 5'!$D$22:$D$26)</f>
        <v>1</v>
      </c>
    </row>
    <row r="28" spans="1:4" ht="14.25" customHeight="1" x14ac:dyDescent="0.25">
      <c r="A28" s="80" t="s">
        <v>120</v>
      </c>
      <c r="B28" s="69"/>
      <c r="C28" s="39">
        <f t="shared" ref="C28:D28" si="1">C27/5</f>
        <v>0.8</v>
      </c>
      <c r="D28" s="39">
        <f t="shared" si="1"/>
        <v>0.2</v>
      </c>
    </row>
    <row r="29" spans="1:4" ht="14.25" customHeight="1" x14ac:dyDescent="0.25">
      <c r="A29" s="37"/>
      <c r="B29" s="37"/>
      <c r="C29" s="39"/>
      <c r="D29" s="38"/>
    </row>
    <row r="30" spans="1:4" ht="23.25" x14ac:dyDescent="0.25">
      <c r="A30" s="81" t="s">
        <v>127</v>
      </c>
      <c r="B30" s="69"/>
      <c r="C30" s="69"/>
      <c r="D30" s="69"/>
    </row>
    <row r="31" spans="1:4" ht="21" x14ac:dyDescent="0.25">
      <c r="A31" s="40" t="s">
        <v>104</v>
      </c>
      <c r="B31" s="41" t="s">
        <v>106</v>
      </c>
      <c r="C31" s="42" t="s">
        <v>107</v>
      </c>
      <c r="D31" s="43" t="s">
        <v>108</v>
      </c>
    </row>
    <row r="32" spans="1:4" ht="30" x14ac:dyDescent="0.25">
      <c r="A32" s="29">
        <v>1</v>
      </c>
      <c r="B32" s="30" t="s">
        <v>128</v>
      </c>
      <c r="C32" s="47" t="s">
        <v>129</v>
      </c>
      <c r="D32" s="36"/>
    </row>
    <row r="33" spans="1:4" ht="45" x14ac:dyDescent="0.25">
      <c r="A33" s="29">
        <v>2</v>
      </c>
      <c r="B33" s="30" t="s">
        <v>130</v>
      </c>
      <c r="C33" s="47" t="s">
        <v>129</v>
      </c>
      <c r="D33" s="36"/>
    </row>
    <row r="34" spans="1:4" ht="45" x14ac:dyDescent="0.25">
      <c r="A34" s="34">
        <v>3</v>
      </c>
      <c r="B34" s="35" t="s">
        <v>131</v>
      </c>
      <c r="C34" s="36" t="s">
        <v>110</v>
      </c>
      <c r="D34" s="36"/>
    </row>
    <row r="35" spans="1:4" ht="14.25" customHeight="1" x14ac:dyDescent="0.25">
      <c r="A35" s="80" t="s">
        <v>119</v>
      </c>
      <c r="B35" s="69"/>
      <c r="C35" s="8">
        <f>COUNTA('Hoja 5'!$C$32:$C$34)</f>
        <v>3</v>
      </c>
      <c r="D35" s="8">
        <f>COUNTA('Hoja 5'!$D$32:$D$34)</f>
        <v>0</v>
      </c>
    </row>
    <row r="36" spans="1:4" ht="14.25" customHeight="1" x14ac:dyDescent="0.25">
      <c r="A36" s="80" t="s">
        <v>120</v>
      </c>
      <c r="B36" s="69"/>
      <c r="C36" s="39">
        <f t="shared" ref="C36:D36" si="2">C35/3</f>
        <v>1</v>
      </c>
      <c r="D36" s="39">
        <f t="shared" si="2"/>
        <v>0</v>
      </c>
    </row>
    <row r="37" spans="1:4" ht="14.25" customHeight="1" x14ac:dyDescent="0.25"/>
    <row r="38" spans="1:4" ht="14.25" customHeight="1" x14ac:dyDescent="0.25"/>
    <row r="39" spans="1:4" ht="14.25" customHeight="1" x14ac:dyDescent="0.25"/>
    <row r="40" spans="1:4" ht="14.25" customHeight="1" x14ac:dyDescent="0.3">
      <c r="A40" s="82" t="s">
        <v>132</v>
      </c>
      <c r="B40" s="69"/>
      <c r="C40" s="69"/>
    </row>
    <row r="41" spans="1:4" ht="30" customHeight="1" x14ac:dyDescent="0.25">
      <c r="B41" s="23" t="s">
        <v>133</v>
      </c>
      <c r="C41" s="38">
        <v>78</v>
      </c>
    </row>
    <row r="42" spans="1:4" ht="30" customHeight="1" x14ac:dyDescent="0.25">
      <c r="B42" s="23" t="s">
        <v>121</v>
      </c>
      <c r="C42" s="48">
        <v>80</v>
      </c>
    </row>
    <row r="43" spans="1:4" ht="30" customHeight="1" x14ac:dyDescent="0.25">
      <c r="B43" s="23" t="s">
        <v>127</v>
      </c>
      <c r="C43" s="48">
        <v>100</v>
      </c>
    </row>
    <row r="44" spans="1:4" ht="14.25" customHeight="1" x14ac:dyDescent="0.25">
      <c r="C44" s="38"/>
    </row>
    <row r="45" spans="1:4" ht="14.25" customHeight="1" x14ac:dyDescent="0.25">
      <c r="C45" s="38"/>
    </row>
    <row r="46" spans="1:4" ht="14.25" customHeight="1" x14ac:dyDescent="0.25"/>
    <row r="47" spans="1:4" ht="14.25" customHeight="1" x14ac:dyDescent="0.25"/>
    <row r="48" spans="1:4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4">
    <mergeCell ref="A36:B36"/>
    <mergeCell ref="A40:C40"/>
    <mergeCell ref="C1:D1"/>
    <mergeCell ref="C2:D2"/>
    <mergeCell ref="C3:D3"/>
    <mergeCell ref="C4:D4"/>
    <mergeCell ref="A6:D6"/>
    <mergeCell ref="A17:B17"/>
    <mergeCell ref="A20:D20"/>
    <mergeCell ref="A18:B18"/>
    <mergeCell ref="A27:B27"/>
    <mergeCell ref="A28:B28"/>
    <mergeCell ref="A30:D30"/>
    <mergeCell ref="A35:B35"/>
  </mergeCells>
  <conditionalFormatting sqref="A32:D34">
    <cfRule type="containsText" dxfId="23" priority="1" operator="containsText" text="X">
      <formula>NOT(ISERROR(SEARCH(("X"),(A32))))</formula>
    </cfRule>
  </conditionalFormatting>
  <conditionalFormatting sqref="C8:D16 C22:C26 C32:D34">
    <cfRule type="containsText" dxfId="22" priority="3" operator="containsText" text="X">
      <formula>NOT(ISERROR(SEARCH(("X"),(C8))))</formula>
    </cfRule>
    <cfRule type="containsText" dxfId="21" priority="4" operator="containsText" text="X">
      <formula>NOT(ISERROR(SEARCH(("X"),(C8))))</formula>
    </cfRule>
    <cfRule type="containsText" dxfId="20" priority="5" operator="containsText" text="X">
      <formula>NOT(ISERROR(SEARCH(("X"),(C8))))</formula>
    </cfRule>
  </conditionalFormatting>
  <conditionalFormatting sqref="C22:D26">
    <cfRule type="containsText" dxfId="19" priority="6" operator="containsText" text="X">
      <formula>NOT(ISERROR(SEARCH(("X"),(C22))))</formula>
    </cfRule>
    <cfRule type="containsText" dxfId="18" priority="7" operator="containsText" text="X">
      <formula>NOT(ISERROR(SEARCH(("X"),(C22))))</formula>
    </cfRule>
  </conditionalFormatting>
  <conditionalFormatting sqref="C32:D34 C8:D16 C22:C26">
    <cfRule type="containsText" dxfId="17" priority="2" operator="containsText" text="X">
      <formula>NOT(ISERROR(SEARCH(("X"),(C8))))</formula>
    </cfRule>
  </conditionalFormatting>
  <conditionalFormatting sqref="C32:D34">
    <cfRule type="containsText" dxfId="16" priority="8" operator="containsText" text="X">
      <formula>NOT(ISERROR(SEARCH(("X"),(C32))))</formula>
    </cfRule>
  </conditionalFormatting>
  <pageMargins left="0.7" right="0.7" top="0.75" bottom="0.75" header="0" footer="0"/>
  <pageSetup paperSize="9" scale="52" orientation="portrait" r:id="rId1"/>
  <drawing r:id="rId2"/>
  <tableParts count="3">
    <tablePart r:id="rId3"/>
    <tablePart r:id="rId4"/>
    <tablePart r:id="rId5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Z1000"/>
  <sheetViews>
    <sheetView view="pageBreakPreview" zoomScale="60" zoomScaleNormal="100" workbookViewId="0"/>
  </sheetViews>
  <sheetFormatPr baseColWidth="10" defaultColWidth="14.42578125" defaultRowHeight="15" customHeight="1" x14ac:dyDescent="0.25"/>
  <cols>
    <col min="1" max="1" width="10.7109375" customWidth="1"/>
    <col min="2" max="2" width="34.5703125" customWidth="1"/>
    <col min="3" max="3" width="16.140625" customWidth="1"/>
    <col min="4" max="4" width="32.5703125" customWidth="1"/>
    <col min="5" max="24" width="10.7109375" customWidth="1"/>
  </cols>
  <sheetData>
    <row r="1" spans="1:26" ht="51" customHeight="1" x14ac:dyDescent="0.25">
      <c r="A1" s="23"/>
      <c r="B1" s="24" t="s">
        <v>1</v>
      </c>
      <c r="C1" s="83" t="s">
        <v>2</v>
      </c>
      <c r="D1" s="69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</row>
    <row r="2" spans="1:26" ht="14.25" customHeight="1" x14ac:dyDescent="0.3">
      <c r="B2" s="25" t="s">
        <v>96</v>
      </c>
      <c r="C2" s="84">
        <v>46305</v>
      </c>
      <c r="D2" s="69"/>
    </row>
    <row r="3" spans="1:26" ht="14.25" customHeight="1" x14ac:dyDescent="0.3">
      <c r="B3" s="25" t="s">
        <v>97</v>
      </c>
      <c r="C3" s="85" t="s">
        <v>99</v>
      </c>
      <c r="D3" s="69"/>
    </row>
    <row r="4" spans="1:26" ht="14.25" customHeight="1" x14ac:dyDescent="0.3">
      <c r="B4" s="25" t="s">
        <v>100</v>
      </c>
      <c r="C4" s="85" t="s">
        <v>142</v>
      </c>
      <c r="D4" s="69"/>
    </row>
    <row r="5" spans="1:26" ht="14.25" customHeight="1" x14ac:dyDescent="0.25"/>
    <row r="6" spans="1:26" ht="23.25" x14ac:dyDescent="0.25">
      <c r="A6" s="81" t="s">
        <v>103</v>
      </c>
      <c r="B6" s="69"/>
      <c r="C6" s="69"/>
      <c r="D6" s="69"/>
    </row>
    <row r="7" spans="1:26" ht="18.75" x14ac:dyDescent="0.25">
      <c r="A7" s="26" t="s">
        <v>104</v>
      </c>
      <c r="B7" s="27" t="s">
        <v>106</v>
      </c>
      <c r="C7" s="27" t="s">
        <v>107</v>
      </c>
      <c r="D7" s="28" t="s">
        <v>108</v>
      </c>
    </row>
    <row r="8" spans="1:26" ht="30" x14ac:dyDescent="0.25">
      <c r="A8" s="29">
        <v>1</v>
      </c>
      <c r="B8" s="30" t="s">
        <v>109</v>
      </c>
      <c r="C8" s="31" t="s">
        <v>110</v>
      </c>
      <c r="D8" s="32"/>
    </row>
    <row r="9" spans="1:26" ht="30" x14ac:dyDescent="0.25">
      <c r="A9" s="29">
        <v>2</v>
      </c>
      <c r="B9" s="30" t="s">
        <v>111</v>
      </c>
      <c r="C9" s="31"/>
      <c r="D9" s="33" t="s">
        <v>110</v>
      </c>
    </row>
    <row r="10" spans="1:26" ht="60" x14ac:dyDescent="0.25">
      <c r="A10" s="29">
        <v>3</v>
      </c>
      <c r="B10" s="30" t="s">
        <v>112</v>
      </c>
      <c r="C10" s="31" t="s">
        <v>110</v>
      </c>
      <c r="D10" s="32"/>
    </row>
    <row r="11" spans="1:26" ht="30" x14ac:dyDescent="0.25">
      <c r="A11" s="29">
        <v>4</v>
      </c>
      <c r="B11" s="30" t="s">
        <v>113</v>
      </c>
      <c r="C11" s="31" t="s">
        <v>110</v>
      </c>
      <c r="D11" s="32"/>
    </row>
    <row r="12" spans="1:26" ht="30" x14ac:dyDescent="0.25">
      <c r="A12" s="29">
        <v>5</v>
      </c>
      <c r="B12" s="30" t="s">
        <v>114</v>
      </c>
      <c r="C12" s="31" t="s">
        <v>110</v>
      </c>
      <c r="D12" s="32"/>
    </row>
    <row r="13" spans="1:26" ht="30" x14ac:dyDescent="0.25">
      <c r="A13" s="29">
        <v>6</v>
      </c>
      <c r="B13" s="30" t="s">
        <v>115</v>
      </c>
      <c r="C13" s="31" t="s">
        <v>110</v>
      </c>
      <c r="D13" s="32"/>
    </row>
    <row r="14" spans="1:26" ht="30" x14ac:dyDescent="0.25">
      <c r="A14" s="29">
        <v>7</v>
      </c>
      <c r="B14" s="30" t="s">
        <v>116</v>
      </c>
      <c r="C14" s="49" t="s">
        <v>110</v>
      </c>
      <c r="D14" s="31"/>
    </row>
    <row r="15" spans="1:26" ht="45" x14ac:dyDescent="0.25">
      <c r="A15" s="29">
        <v>8</v>
      </c>
      <c r="B15" s="30" t="s">
        <v>117</v>
      </c>
      <c r="C15" s="31" t="s">
        <v>110</v>
      </c>
      <c r="D15" s="32"/>
    </row>
    <row r="16" spans="1:26" ht="75" x14ac:dyDescent="0.25">
      <c r="A16" s="34">
        <v>9</v>
      </c>
      <c r="B16" s="35" t="s">
        <v>118</v>
      </c>
      <c r="C16" s="36"/>
      <c r="D16" s="36" t="s">
        <v>110</v>
      </c>
    </row>
    <row r="17" spans="1:4" ht="18.75" x14ac:dyDescent="0.25">
      <c r="A17" s="80" t="s">
        <v>119</v>
      </c>
      <c r="B17" s="69"/>
      <c r="C17" s="38">
        <f>COUNTA('Hoja 6'!$C$8:$C$16)</f>
        <v>7</v>
      </c>
      <c r="D17" s="38">
        <f>COUNTA('Hoja 6'!$D$8:$D$16)</f>
        <v>2</v>
      </c>
    </row>
    <row r="18" spans="1:4" ht="18.75" x14ac:dyDescent="0.25">
      <c r="A18" s="80" t="s">
        <v>120</v>
      </c>
      <c r="B18" s="69"/>
      <c r="C18" s="39">
        <f t="shared" ref="C18:D18" si="0">C17/9</f>
        <v>0.77777777777777779</v>
      </c>
      <c r="D18" s="39">
        <f t="shared" si="0"/>
        <v>0.22222222222222221</v>
      </c>
    </row>
    <row r="19" spans="1:4" ht="14.25" customHeight="1" x14ac:dyDescent="0.25">
      <c r="A19" s="37"/>
      <c r="B19" s="37"/>
      <c r="C19" s="39"/>
      <c r="D19" s="38"/>
    </row>
    <row r="20" spans="1:4" ht="23.25" x14ac:dyDescent="0.25">
      <c r="A20" s="86" t="s">
        <v>121</v>
      </c>
      <c r="B20" s="87"/>
      <c r="C20" s="87"/>
      <c r="D20" s="87"/>
    </row>
    <row r="21" spans="1:4" ht="21" x14ac:dyDescent="0.25">
      <c r="A21" s="40" t="s">
        <v>104</v>
      </c>
      <c r="B21" s="41" t="s">
        <v>106</v>
      </c>
      <c r="C21" s="42" t="s">
        <v>107</v>
      </c>
      <c r="D21" s="43" t="s">
        <v>108</v>
      </c>
    </row>
    <row r="22" spans="1:4" ht="30" x14ac:dyDescent="0.25">
      <c r="A22" s="29">
        <v>1</v>
      </c>
      <c r="B22" s="30" t="s">
        <v>122</v>
      </c>
      <c r="C22" s="36" t="s">
        <v>110</v>
      </c>
      <c r="D22" s="32"/>
    </row>
    <row r="23" spans="1:4" ht="30" x14ac:dyDescent="0.25">
      <c r="A23" s="29">
        <v>2</v>
      </c>
      <c r="B23" s="30" t="s">
        <v>123</v>
      </c>
      <c r="C23" s="36" t="s">
        <v>110</v>
      </c>
      <c r="D23" s="32"/>
    </row>
    <row r="24" spans="1:4" ht="30" x14ac:dyDescent="0.25">
      <c r="A24" s="29">
        <v>3</v>
      </c>
      <c r="B24" s="30" t="s">
        <v>124</v>
      </c>
      <c r="C24" s="36"/>
      <c r="D24" s="44" t="s">
        <v>110</v>
      </c>
    </row>
    <row r="25" spans="1:4" ht="45" x14ac:dyDescent="0.25">
      <c r="A25" s="29">
        <v>4</v>
      </c>
      <c r="B25" s="30" t="s">
        <v>125</v>
      </c>
      <c r="C25" s="36" t="s">
        <v>110</v>
      </c>
      <c r="D25" s="32"/>
    </row>
    <row r="26" spans="1:4" ht="30" x14ac:dyDescent="0.25">
      <c r="A26" s="34">
        <v>5</v>
      </c>
      <c r="B26" s="35" t="s">
        <v>126</v>
      </c>
      <c r="C26" s="36" t="s">
        <v>110</v>
      </c>
      <c r="D26" s="45"/>
    </row>
    <row r="27" spans="1:4" ht="14.25" customHeight="1" x14ac:dyDescent="0.25">
      <c r="A27" s="80" t="s">
        <v>119</v>
      </c>
      <c r="B27" s="69"/>
      <c r="C27" s="38">
        <f>COUNTA('Hoja 6'!$C$22:$C$26)</f>
        <v>4</v>
      </c>
      <c r="D27" s="38">
        <f>COUNTA('Hoja 6'!$D$22:$D$26)</f>
        <v>1</v>
      </c>
    </row>
    <row r="28" spans="1:4" ht="14.25" customHeight="1" x14ac:dyDescent="0.25">
      <c r="A28" s="80" t="s">
        <v>120</v>
      </c>
      <c r="B28" s="69"/>
      <c r="C28" s="39">
        <f t="shared" ref="C28:D28" si="1">C27/5</f>
        <v>0.8</v>
      </c>
      <c r="D28" s="39">
        <f t="shared" si="1"/>
        <v>0.2</v>
      </c>
    </row>
    <row r="29" spans="1:4" ht="14.25" customHeight="1" x14ac:dyDescent="0.25">
      <c r="A29" s="37"/>
      <c r="B29" s="37"/>
      <c r="C29" s="39"/>
      <c r="D29" s="38"/>
    </row>
    <row r="30" spans="1:4" ht="23.25" x14ac:dyDescent="0.25">
      <c r="A30" s="81" t="s">
        <v>127</v>
      </c>
      <c r="B30" s="69"/>
      <c r="C30" s="69"/>
      <c r="D30" s="69"/>
    </row>
    <row r="31" spans="1:4" ht="21" x14ac:dyDescent="0.25">
      <c r="A31" s="40" t="s">
        <v>104</v>
      </c>
      <c r="B31" s="41" t="s">
        <v>106</v>
      </c>
      <c r="C31" s="42" t="s">
        <v>107</v>
      </c>
      <c r="D31" s="43" t="s">
        <v>108</v>
      </c>
    </row>
    <row r="32" spans="1:4" ht="30" x14ac:dyDescent="0.25">
      <c r="A32" s="29">
        <v>1</v>
      </c>
      <c r="B32" s="30" t="s">
        <v>128</v>
      </c>
      <c r="C32" s="47" t="s">
        <v>129</v>
      </c>
      <c r="D32" s="36"/>
    </row>
    <row r="33" spans="1:4" ht="45" x14ac:dyDescent="0.25">
      <c r="A33" s="29">
        <v>2</v>
      </c>
      <c r="B33" s="30" t="s">
        <v>130</v>
      </c>
      <c r="C33" s="47" t="s">
        <v>129</v>
      </c>
      <c r="D33" s="36"/>
    </row>
    <row r="34" spans="1:4" ht="45" x14ac:dyDescent="0.25">
      <c r="A34" s="34">
        <v>3</v>
      </c>
      <c r="B34" s="35" t="s">
        <v>131</v>
      </c>
      <c r="C34" s="36" t="s">
        <v>110</v>
      </c>
      <c r="D34" s="36"/>
    </row>
    <row r="35" spans="1:4" ht="14.25" customHeight="1" x14ac:dyDescent="0.25">
      <c r="A35" s="80" t="s">
        <v>119</v>
      </c>
      <c r="B35" s="69"/>
      <c r="C35" s="8">
        <f>COUNTA('Hoja 6'!$C$32:$C$34)</f>
        <v>3</v>
      </c>
      <c r="D35" s="8">
        <f>COUNTA('Hoja 6'!$D$32:$D$34)</f>
        <v>0</v>
      </c>
    </row>
    <row r="36" spans="1:4" ht="14.25" customHeight="1" x14ac:dyDescent="0.25">
      <c r="A36" s="80" t="s">
        <v>120</v>
      </c>
      <c r="B36" s="69"/>
      <c r="C36" s="39">
        <f t="shared" ref="C36:D36" si="2">C35/3</f>
        <v>1</v>
      </c>
      <c r="D36" s="39">
        <f t="shared" si="2"/>
        <v>0</v>
      </c>
    </row>
    <row r="37" spans="1:4" ht="14.25" customHeight="1" x14ac:dyDescent="0.25"/>
    <row r="38" spans="1:4" ht="14.25" customHeight="1" x14ac:dyDescent="0.25"/>
    <row r="39" spans="1:4" ht="14.25" customHeight="1" x14ac:dyDescent="0.25"/>
    <row r="40" spans="1:4" ht="14.25" customHeight="1" x14ac:dyDescent="0.3">
      <c r="A40" s="82" t="s">
        <v>132</v>
      </c>
      <c r="B40" s="69"/>
      <c r="C40" s="69"/>
    </row>
    <row r="41" spans="1:4" ht="30" customHeight="1" x14ac:dyDescent="0.25">
      <c r="B41" s="23" t="s">
        <v>133</v>
      </c>
      <c r="C41" s="38">
        <v>78</v>
      </c>
    </row>
    <row r="42" spans="1:4" ht="30" customHeight="1" x14ac:dyDescent="0.25">
      <c r="B42" s="23" t="s">
        <v>121</v>
      </c>
      <c r="C42" s="48">
        <v>80</v>
      </c>
    </row>
    <row r="43" spans="1:4" ht="30" customHeight="1" x14ac:dyDescent="0.25">
      <c r="B43" s="23" t="s">
        <v>127</v>
      </c>
      <c r="C43" s="48">
        <v>100</v>
      </c>
    </row>
    <row r="44" spans="1:4" ht="14.25" customHeight="1" x14ac:dyDescent="0.25">
      <c r="C44" s="38"/>
    </row>
    <row r="45" spans="1:4" ht="14.25" customHeight="1" x14ac:dyDescent="0.25">
      <c r="C45" s="38"/>
    </row>
    <row r="46" spans="1:4" ht="14.25" customHeight="1" x14ac:dyDescent="0.25"/>
    <row r="47" spans="1:4" ht="14.25" customHeight="1" x14ac:dyDescent="0.25"/>
    <row r="48" spans="1:4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4">
    <mergeCell ref="A36:B36"/>
    <mergeCell ref="A40:C40"/>
    <mergeCell ref="C1:D1"/>
    <mergeCell ref="C2:D2"/>
    <mergeCell ref="C3:D3"/>
    <mergeCell ref="C4:D4"/>
    <mergeCell ref="A6:D6"/>
    <mergeCell ref="A17:B17"/>
    <mergeCell ref="A20:D20"/>
    <mergeCell ref="A18:B18"/>
    <mergeCell ref="A27:B27"/>
    <mergeCell ref="A28:B28"/>
    <mergeCell ref="A30:D30"/>
    <mergeCell ref="A35:B35"/>
  </mergeCells>
  <conditionalFormatting sqref="A32:D34">
    <cfRule type="containsText" dxfId="15" priority="1" operator="containsText" text="X">
      <formula>NOT(ISERROR(SEARCH(("X"),(A32))))</formula>
    </cfRule>
  </conditionalFormatting>
  <conditionalFormatting sqref="C8:D16 C22:C26 C32:D34">
    <cfRule type="containsText" dxfId="14" priority="3" operator="containsText" text="X">
      <formula>NOT(ISERROR(SEARCH(("X"),(C8))))</formula>
    </cfRule>
    <cfRule type="containsText" dxfId="13" priority="4" operator="containsText" text="X">
      <formula>NOT(ISERROR(SEARCH(("X"),(C8))))</formula>
    </cfRule>
    <cfRule type="containsText" dxfId="12" priority="5" operator="containsText" text="X">
      <formula>NOT(ISERROR(SEARCH(("X"),(C8))))</formula>
    </cfRule>
  </conditionalFormatting>
  <conditionalFormatting sqref="C22:D26">
    <cfRule type="containsText" dxfId="11" priority="6" operator="containsText" text="X">
      <formula>NOT(ISERROR(SEARCH(("X"),(C22))))</formula>
    </cfRule>
    <cfRule type="containsText" dxfId="10" priority="7" operator="containsText" text="X">
      <formula>NOT(ISERROR(SEARCH(("X"),(C22))))</formula>
    </cfRule>
  </conditionalFormatting>
  <conditionalFormatting sqref="C32:D34 C8:D16 C22:C26">
    <cfRule type="containsText" dxfId="9" priority="2" operator="containsText" text="X">
      <formula>NOT(ISERROR(SEARCH(("X"),(C8))))</formula>
    </cfRule>
  </conditionalFormatting>
  <conditionalFormatting sqref="C32:D34">
    <cfRule type="containsText" dxfId="8" priority="8" operator="containsText" text="X">
      <formula>NOT(ISERROR(SEARCH(("X"),(C32))))</formula>
    </cfRule>
  </conditionalFormatting>
  <pageMargins left="0.7" right="0.7" top="0.75" bottom="0.75" header="0" footer="0"/>
  <pageSetup paperSize="9" scale="52" orientation="portrait" r:id="rId1"/>
  <drawing r:id="rId2"/>
  <tableParts count="3">
    <tablePart r:id="rId3"/>
    <tablePart r:id="rId4"/>
    <tablePart r:id="rId5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Z1000"/>
  <sheetViews>
    <sheetView view="pageBreakPreview" topLeftCell="A32" zoomScale="60" zoomScaleNormal="100" workbookViewId="0"/>
  </sheetViews>
  <sheetFormatPr baseColWidth="10" defaultColWidth="14.42578125" defaultRowHeight="15" customHeight="1" x14ac:dyDescent="0.25"/>
  <cols>
    <col min="1" max="1" width="10.7109375" customWidth="1"/>
    <col min="2" max="2" width="34.5703125" customWidth="1"/>
    <col min="3" max="3" width="16.140625" customWidth="1"/>
    <col min="4" max="4" width="24.28515625" customWidth="1"/>
    <col min="5" max="24" width="10.7109375" customWidth="1"/>
  </cols>
  <sheetData>
    <row r="1" spans="1:26" ht="51" customHeight="1" x14ac:dyDescent="0.25">
      <c r="A1" s="23"/>
      <c r="B1" s="24" t="s">
        <v>1</v>
      </c>
      <c r="C1" s="83" t="s">
        <v>2</v>
      </c>
      <c r="D1" s="69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</row>
    <row r="2" spans="1:26" ht="14.25" customHeight="1" x14ac:dyDescent="0.3">
      <c r="B2" s="25" t="s">
        <v>96</v>
      </c>
      <c r="C2" s="84">
        <v>46306</v>
      </c>
      <c r="D2" s="69"/>
    </row>
    <row r="3" spans="1:26" ht="14.25" customHeight="1" x14ac:dyDescent="0.3">
      <c r="B3" s="25" t="s">
        <v>97</v>
      </c>
      <c r="C3" s="85" t="s">
        <v>105</v>
      </c>
      <c r="D3" s="69"/>
    </row>
    <row r="4" spans="1:26" ht="14.25" customHeight="1" x14ac:dyDescent="0.3">
      <c r="B4" s="25" t="s">
        <v>100</v>
      </c>
      <c r="C4" s="85" t="s">
        <v>155</v>
      </c>
      <c r="D4" s="69"/>
    </row>
    <row r="5" spans="1:26" ht="14.25" customHeight="1" x14ac:dyDescent="0.25"/>
    <row r="6" spans="1:26" ht="80.25" customHeight="1" x14ac:dyDescent="0.25">
      <c r="A6" s="81" t="s">
        <v>103</v>
      </c>
      <c r="B6" s="69"/>
      <c r="C6" s="69"/>
      <c r="D6" s="69"/>
    </row>
    <row r="7" spans="1:26" ht="20.25" customHeight="1" x14ac:dyDescent="0.25">
      <c r="A7" s="26" t="s">
        <v>104</v>
      </c>
      <c r="B7" s="27" t="s">
        <v>106</v>
      </c>
      <c r="C7" s="27" t="s">
        <v>107</v>
      </c>
      <c r="D7" s="28" t="s">
        <v>108</v>
      </c>
    </row>
    <row r="8" spans="1:26" ht="28.5" customHeight="1" x14ac:dyDescent="0.25">
      <c r="A8" s="29">
        <v>1</v>
      </c>
      <c r="B8" s="30" t="s">
        <v>109</v>
      </c>
      <c r="C8" s="31" t="s">
        <v>110</v>
      </c>
      <c r="D8" s="32"/>
    </row>
    <row r="9" spans="1:26" ht="33.75" customHeight="1" x14ac:dyDescent="0.25">
      <c r="A9" s="29">
        <v>2</v>
      </c>
      <c r="B9" s="30" t="s">
        <v>111</v>
      </c>
      <c r="C9" s="31"/>
      <c r="D9" s="33" t="s">
        <v>110</v>
      </c>
    </row>
    <row r="10" spans="1:26" ht="74.25" customHeight="1" x14ac:dyDescent="0.25">
      <c r="A10" s="29">
        <v>3</v>
      </c>
      <c r="B10" s="30" t="s">
        <v>112</v>
      </c>
      <c r="C10" s="31" t="s">
        <v>110</v>
      </c>
      <c r="D10" s="32"/>
    </row>
    <row r="11" spans="1:26" ht="52.5" customHeight="1" x14ac:dyDescent="0.25">
      <c r="A11" s="29">
        <v>4</v>
      </c>
      <c r="B11" s="30" t="s">
        <v>113</v>
      </c>
      <c r="C11" s="31" t="s">
        <v>110</v>
      </c>
      <c r="D11" s="32"/>
    </row>
    <row r="12" spans="1:26" ht="40.5" customHeight="1" x14ac:dyDescent="0.25">
      <c r="A12" s="29">
        <v>5</v>
      </c>
      <c r="B12" s="30" t="s">
        <v>114</v>
      </c>
      <c r="C12" s="31" t="s">
        <v>110</v>
      </c>
      <c r="D12" s="32"/>
    </row>
    <row r="13" spans="1:26" ht="41.25" customHeight="1" x14ac:dyDescent="0.25">
      <c r="A13" s="29">
        <v>6</v>
      </c>
      <c r="B13" s="30" t="s">
        <v>115</v>
      </c>
      <c r="C13" s="31" t="s">
        <v>110</v>
      </c>
      <c r="D13" s="32"/>
    </row>
    <row r="14" spans="1:26" ht="39" customHeight="1" x14ac:dyDescent="0.25">
      <c r="A14" s="29">
        <v>7</v>
      </c>
      <c r="B14" s="30" t="s">
        <v>116</v>
      </c>
      <c r="C14" s="31" t="s">
        <v>110</v>
      </c>
      <c r="D14" s="32"/>
    </row>
    <row r="15" spans="1:26" ht="45.75" customHeight="1" x14ac:dyDescent="0.25">
      <c r="A15" s="29">
        <v>8</v>
      </c>
      <c r="B15" s="30" t="s">
        <v>117</v>
      </c>
      <c r="C15" s="31" t="s">
        <v>110</v>
      </c>
      <c r="D15" s="32"/>
    </row>
    <row r="16" spans="1:26" ht="77.25" customHeight="1" x14ac:dyDescent="0.25">
      <c r="A16" s="34">
        <v>9</v>
      </c>
      <c r="B16" s="35" t="s">
        <v>118</v>
      </c>
      <c r="C16" s="36"/>
      <c r="D16" s="36" t="s">
        <v>110</v>
      </c>
    </row>
    <row r="17" spans="1:4" ht="14.25" customHeight="1" x14ac:dyDescent="0.25">
      <c r="A17" s="80" t="s">
        <v>119</v>
      </c>
      <c r="B17" s="69"/>
      <c r="C17" s="38">
        <f>COUNTA('Hoja 7'!$C$8:$C$16)</f>
        <v>7</v>
      </c>
      <c r="D17" s="38">
        <f>COUNTA('Hoja 7'!$D$8:$D$16)</f>
        <v>2</v>
      </c>
    </row>
    <row r="18" spans="1:4" ht="14.25" customHeight="1" x14ac:dyDescent="0.25">
      <c r="A18" s="80" t="s">
        <v>120</v>
      </c>
      <c r="B18" s="69"/>
      <c r="C18" s="39">
        <f t="shared" ref="C18:D18" si="0">C17/9</f>
        <v>0.77777777777777779</v>
      </c>
      <c r="D18" s="39">
        <f t="shared" si="0"/>
        <v>0.22222222222222221</v>
      </c>
    </row>
    <row r="19" spans="1:4" ht="14.25" customHeight="1" x14ac:dyDescent="0.25">
      <c r="A19" s="37"/>
      <c r="B19" s="37"/>
      <c r="C19" s="39"/>
      <c r="D19" s="38"/>
    </row>
    <row r="20" spans="1:4" ht="51" customHeight="1" x14ac:dyDescent="0.25">
      <c r="A20" s="86" t="s">
        <v>121</v>
      </c>
      <c r="B20" s="87"/>
      <c r="C20" s="87"/>
      <c r="D20" s="87"/>
    </row>
    <row r="21" spans="1:4" ht="35.25" customHeight="1" x14ac:dyDescent="0.25">
      <c r="A21" s="40" t="s">
        <v>104</v>
      </c>
      <c r="B21" s="41" t="s">
        <v>106</v>
      </c>
      <c r="C21" s="42" t="s">
        <v>107</v>
      </c>
      <c r="D21" s="43" t="s">
        <v>108</v>
      </c>
    </row>
    <row r="22" spans="1:4" ht="44.25" customHeight="1" x14ac:dyDescent="0.25">
      <c r="A22" s="29">
        <v>1</v>
      </c>
      <c r="B22" s="30" t="s">
        <v>122</v>
      </c>
      <c r="C22" s="36" t="s">
        <v>110</v>
      </c>
      <c r="D22" s="32"/>
    </row>
    <row r="23" spans="1:4" ht="48.75" customHeight="1" x14ac:dyDescent="0.25">
      <c r="A23" s="29">
        <v>2</v>
      </c>
      <c r="B23" s="30" t="s">
        <v>123</v>
      </c>
      <c r="C23" s="36" t="s">
        <v>110</v>
      </c>
      <c r="D23" s="32"/>
    </row>
    <row r="24" spans="1:4" ht="51" customHeight="1" x14ac:dyDescent="0.25">
      <c r="A24" s="29">
        <v>3</v>
      </c>
      <c r="B24" s="30" t="s">
        <v>124</v>
      </c>
      <c r="C24" s="36"/>
      <c r="D24" s="33" t="s">
        <v>110</v>
      </c>
    </row>
    <row r="25" spans="1:4" ht="55.5" customHeight="1" x14ac:dyDescent="0.25">
      <c r="A25" s="29">
        <v>4</v>
      </c>
      <c r="B25" s="30" t="s">
        <v>125</v>
      </c>
      <c r="C25" s="36" t="s">
        <v>110</v>
      </c>
      <c r="D25" s="32"/>
    </row>
    <row r="26" spans="1:4" ht="63" customHeight="1" x14ac:dyDescent="0.25">
      <c r="A26" s="34">
        <v>5</v>
      </c>
      <c r="B26" s="35" t="s">
        <v>126</v>
      </c>
      <c r="C26" s="36" t="s">
        <v>110</v>
      </c>
      <c r="D26" s="45"/>
    </row>
    <row r="27" spans="1:4" ht="14.25" customHeight="1" x14ac:dyDescent="0.25">
      <c r="A27" s="80" t="s">
        <v>119</v>
      </c>
      <c r="B27" s="69"/>
      <c r="C27" s="38">
        <f>COUNTA('Hoja 7'!$C$22:$C$26)</f>
        <v>4</v>
      </c>
      <c r="D27" s="38">
        <f>COUNTA('Hoja 7'!$D$22:$D$26)</f>
        <v>1</v>
      </c>
    </row>
    <row r="28" spans="1:4" ht="14.25" customHeight="1" x14ac:dyDescent="0.25">
      <c r="A28" s="80" t="s">
        <v>120</v>
      </c>
      <c r="B28" s="69"/>
      <c r="C28" s="39">
        <f t="shared" ref="C28:D28" si="1">C27/5</f>
        <v>0.8</v>
      </c>
      <c r="D28" s="39">
        <f t="shared" si="1"/>
        <v>0.2</v>
      </c>
    </row>
    <row r="29" spans="1:4" ht="14.25" customHeight="1" x14ac:dyDescent="0.25">
      <c r="A29" s="37"/>
      <c r="B29" s="37"/>
      <c r="C29" s="39"/>
      <c r="D29" s="38"/>
    </row>
    <row r="30" spans="1:4" ht="45.75" customHeight="1" x14ac:dyDescent="0.25">
      <c r="A30" s="81" t="s">
        <v>127</v>
      </c>
      <c r="B30" s="69"/>
      <c r="C30" s="69"/>
      <c r="D30" s="69"/>
    </row>
    <row r="31" spans="1:4" ht="36.75" customHeight="1" x14ac:dyDescent="0.25">
      <c r="A31" s="40" t="s">
        <v>104</v>
      </c>
      <c r="B31" s="41" t="s">
        <v>106</v>
      </c>
      <c r="C31" s="42" t="s">
        <v>107</v>
      </c>
      <c r="D31" s="43" t="s">
        <v>108</v>
      </c>
    </row>
    <row r="32" spans="1:4" ht="41.25" customHeight="1" x14ac:dyDescent="0.25">
      <c r="A32" s="29">
        <v>1</v>
      </c>
      <c r="B32" s="30" t="s">
        <v>128</v>
      </c>
      <c r="C32" s="47" t="s">
        <v>129</v>
      </c>
      <c r="D32" s="47"/>
    </row>
    <row r="33" spans="1:4" ht="54.75" customHeight="1" x14ac:dyDescent="0.25">
      <c r="A33" s="29">
        <v>2</v>
      </c>
      <c r="B33" s="30" t="s">
        <v>130</v>
      </c>
      <c r="C33" s="47" t="s">
        <v>129</v>
      </c>
      <c r="D33" s="47"/>
    </row>
    <row r="34" spans="1:4" ht="45" customHeight="1" x14ac:dyDescent="0.25">
      <c r="A34" s="34">
        <v>3</v>
      </c>
      <c r="B34" s="35" t="s">
        <v>131</v>
      </c>
      <c r="C34" s="36" t="s">
        <v>110</v>
      </c>
      <c r="D34" s="36"/>
    </row>
    <row r="35" spans="1:4" ht="14.25" customHeight="1" x14ac:dyDescent="0.25">
      <c r="A35" s="80" t="s">
        <v>119</v>
      </c>
      <c r="B35" s="69"/>
      <c r="C35" s="8">
        <f>COUNTA('Hoja 7'!$C$32:$C$34)</f>
        <v>3</v>
      </c>
      <c r="D35" s="8">
        <f>COUNTA('Hoja 7'!$D$32:$D$34)</f>
        <v>0</v>
      </c>
    </row>
    <row r="36" spans="1:4" ht="14.25" customHeight="1" x14ac:dyDescent="0.25">
      <c r="A36" s="80" t="s">
        <v>120</v>
      </c>
      <c r="B36" s="69"/>
      <c r="C36" s="39">
        <f t="shared" ref="C36:D36" si="2">C35/3</f>
        <v>1</v>
      </c>
      <c r="D36" s="39">
        <f t="shared" si="2"/>
        <v>0</v>
      </c>
    </row>
    <row r="37" spans="1:4" ht="14.25" customHeight="1" x14ac:dyDescent="0.25"/>
    <row r="38" spans="1:4" ht="14.25" customHeight="1" x14ac:dyDescent="0.25"/>
    <row r="39" spans="1:4" ht="14.25" customHeight="1" x14ac:dyDescent="0.25"/>
    <row r="40" spans="1:4" ht="14.25" customHeight="1" x14ac:dyDescent="0.3">
      <c r="A40" s="82" t="s">
        <v>132</v>
      </c>
      <c r="B40" s="69"/>
      <c r="C40" s="69"/>
    </row>
    <row r="41" spans="1:4" ht="30" customHeight="1" x14ac:dyDescent="0.25">
      <c r="B41" s="23" t="s">
        <v>133</v>
      </c>
      <c r="C41" s="39">
        <f>C18</f>
        <v>0.77777777777777779</v>
      </c>
    </row>
    <row r="42" spans="1:4" ht="30" customHeight="1" x14ac:dyDescent="0.25">
      <c r="B42" s="23" t="s">
        <v>121</v>
      </c>
      <c r="C42" s="39">
        <f>C28</f>
        <v>0.8</v>
      </c>
    </row>
    <row r="43" spans="1:4" ht="30" customHeight="1" x14ac:dyDescent="0.25">
      <c r="B43" s="23" t="s">
        <v>127</v>
      </c>
      <c r="C43" s="39">
        <f>C36</f>
        <v>1</v>
      </c>
    </row>
    <row r="44" spans="1:4" ht="14.25" customHeight="1" x14ac:dyDescent="0.25">
      <c r="C44" s="38"/>
    </row>
    <row r="45" spans="1:4" ht="14.25" customHeight="1" x14ac:dyDescent="0.25">
      <c r="C45" s="38"/>
    </row>
    <row r="46" spans="1:4" ht="14.25" customHeight="1" x14ac:dyDescent="0.25"/>
    <row r="47" spans="1:4" ht="14.25" customHeight="1" x14ac:dyDescent="0.25"/>
    <row r="48" spans="1:4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4">
    <mergeCell ref="A36:B36"/>
    <mergeCell ref="A40:C40"/>
    <mergeCell ref="C1:D1"/>
    <mergeCell ref="C2:D2"/>
    <mergeCell ref="C3:D3"/>
    <mergeCell ref="C4:D4"/>
    <mergeCell ref="A6:D6"/>
    <mergeCell ref="A17:B17"/>
    <mergeCell ref="A20:D20"/>
    <mergeCell ref="A18:B18"/>
    <mergeCell ref="A27:B27"/>
    <mergeCell ref="A28:B28"/>
    <mergeCell ref="A30:D30"/>
    <mergeCell ref="A35:B35"/>
  </mergeCells>
  <conditionalFormatting sqref="A32:D34">
    <cfRule type="containsText" dxfId="7" priority="1" operator="containsText" text="X">
      <formula>NOT(ISERROR(SEARCH(("X"),(A32))))</formula>
    </cfRule>
  </conditionalFormatting>
  <conditionalFormatting sqref="C8:D16 C22:C26 C32:D34">
    <cfRule type="containsText" dxfId="6" priority="3" operator="containsText" text="X">
      <formula>NOT(ISERROR(SEARCH(("X"),(C8))))</formula>
    </cfRule>
    <cfRule type="containsText" dxfId="5" priority="4" operator="containsText" text="X">
      <formula>NOT(ISERROR(SEARCH(("X"),(C8))))</formula>
    </cfRule>
    <cfRule type="containsText" dxfId="4" priority="5" operator="containsText" text="X">
      <formula>NOT(ISERROR(SEARCH(("X"),(C8))))</formula>
    </cfRule>
  </conditionalFormatting>
  <conditionalFormatting sqref="C22:D26">
    <cfRule type="containsText" dxfId="3" priority="6" operator="containsText" text="X">
      <formula>NOT(ISERROR(SEARCH(("X"),(C22))))</formula>
    </cfRule>
    <cfRule type="containsText" dxfId="2" priority="7" operator="containsText" text="X">
      <formula>NOT(ISERROR(SEARCH(("X"),(C22))))</formula>
    </cfRule>
  </conditionalFormatting>
  <conditionalFormatting sqref="C32:D34 C8:D16 C22:C26">
    <cfRule type="containsText" dxfId="1" priority="2" operator="containsText" text="X">
      <formula>NOT(ISERROR(SEARCH(("X"),(C8))))</formula>
    </cfRule>
  </conditionalFormatting>
  <conditionalFormatting sqref="C32:D34">
    <cfRule type="containsText" dxfId="0" priority="8" operator="containsText" text="X">
      <formula>NOT(ISERROR(SEARCH(("X"),(C32))))</formula>
    </cfRule>
  </conditionalFormatting>
  <pageMargins left="0.7" right="0.7" top="0.75" bottom="0.75" header="0" footer="0"/>
  <pageSetup paperSize="9" scale="51" orientation="portrait" r:id="rId1"/>
  <drawing r:id="rId2"/>
  <tableParts count="3">
    <tablePart r:id="rId3"/>
    <tablePart r:id="rId4"/>
    <tablePart r:id="rId5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1000"/>
  <sheetViews>
    <sheetView view="pageBreakPreview" zoomScale="60" zoomScaleNormal="100" workbookViewId="0"/>
  </sheetViews>
  <sheetFormatPr baseColWidth="10" defaultColWidth="14.42578125" defaultRowHeight="15" customHeight="1" x14ac:dyDescent="0.25"/>
  <cols>
    <col min="1" max="1" width="53.140625" customWidth="1"/>
    <col min="2" max="2" width="57.28515625" customWidth="1"/>
    <col min="3" max="6" width="10.7109375" customWidth="1"/>
  </cols>
  <sheetData>
    <row r="1" spans="1:2" ht="14.25" customHeight="1" x14ac:dyDescent="0.25">
      <c r="A1" s="50" t="s">
        <v>139</v>
      </c>
      <c r="B1" s="50" t="s">
        <v>140</v>
      </c>
    </row>
    <row r="2" spans="1:2" ht="132.75" customHeight="1" x14ac:dyDescent="0.25">
      <c r="A2" s="51" t="s">
        <v>141</v>
      </c>
      <c r="B2" s="52" t="s">
        <v>143</v>
      </c>
    </row>
    <row r="3" spans="1:2" ht="55.5" customHeight="1" x14ac:dyDescent="0.25">
      <c r="A3" s="51" t="s">
        <v>144</v>
      </c>
      <c r="B3" s="53" t="s">
        <v>145</v>
      </c>
    </row>
    <row r="4" spans="1:2" ht="111.75" customHeight="1" x14ac:dyDescent="0.25">
      <c r="A4" s="54" t="s">
        <v>146</v>
      </c>
      <c r="B4" s="55" t="s">
        <v>147</v>
      </c>
    </row>
    <row r="5" spans="1:2" ht="117.75" customHeight="1" x14ac:dyDescent="0.25">
      <c r="A5" s="54" t="s">
        <v>148</v>
      </c>
      <c r="B5" s="55" t="s">
        <v>149</v>
      </c>
    </row>
    <row r="6" spans="1:2" ht="14.25" customHeight="1" x14ac:dyDescent="0.25"/>
    <row r="7" spans="1:2" ht="14.25" customHeight="1" x14ac:dyDescent="0.25"/>
    <row r="8" spans="1:2" ht="14.25" customHeight="1" x14ac:dyDescent="0.25"/>
    <row r="9" spans="1:2" ht="14.25" customHeight="1" x14ac:dyDescent="0.25"/>
    <row r="10" spans="1:2" ht="14.25" customHeight="1" x14ac:dyDescent="0.25"/>
    <row r="11" spans="1:2" ht="14.25" customHeight="1" x14ac:dyDescent="0.25"/>
    <row r="12" spans="1:2" ht="14.25" customHeight="1" x14ac:dyDescent="0.25"/>
    <row r="13" spans="1:2" ht="14.25" customHeight="1" x14ac:dyDescent="0.25"/>
    <row r="14" spans="1:2" ht="14.25" customHeight="1" x14ac:dyDescent="0.25"/>
    <row r="15" spans="1:2" ht="14.25" customHeight="1" x14ac:dyDescent="0.25"/>
    <row r="16" spans="1:2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1000"/>
  <sheetViews>
    <sheetView view="pageBreakPreview" zoomScale="60" zoomScaleNormal="100" workbookViewId="0"/>
  </sheetViews>
  <sheetFormatPr baseColWidth="10" defaultColWidth="14.42578125" defaultRowHeight="15" customHeight="1" x14ac:dyDescent="0.25"/>
  <cols>
    <col min="1" max="1" width="78.85546875" customWidth="1"/>
    <col min="2" max="2" width="57.28515625" customWidth="1"/>
    <col min="3" max="6" width="10.7109375" customWidth="1"/>
  </cols>
  <sheetData>
    <row r="1" spans="1:2" ht="14.25" customHeight="1" x14ac:dyDescent="0.25">
      <c r="A1" s="50" t="s">
        <v>139</v>
      </c>
      <c r="B1" s="50" t="s">
        <v>140</v>
      </c>
    </row>
    <row r="2" spans="1:2" ht="83.25" customHeight="1" x14ac:dyDescent="0.25">
      <c r="A2" s="56" t="s">
        <v>141</v>
      </c>
      <c r="B2" s="57" t="s">
        <v>150</v>
      </c>
    </row>
    <row r="3" spans="1:2" ht="100.5" customHeight="1" x14ac:dyDescent="0.25">
      <c r="A3" s="56" t="s">
        <v>144</v>
      </c>
      <c r="B3" s="58" t="s">
        <v>151</v>
      </c>
    </row>
    <row r="4" spans="1:2" ht="75" x14ac:dyDescent="0.25">
      <c r="A4" s="59" t="s">
        <v>152</v>
      </c>
      <c r="B4" s="58" t="s">
        <v>153</v>
      </c>
    </row>
    <row r="5" spans="1:2" ht="83.25" customHeight="1" x14ac:dyDescent="0.25">
      <c r="A5" s="60" t="s">
        <v>148</v>
      </c>
      <c r="B5" s="61" t="s">
        <v>154</v>
      </c>
    </row>
    <row r="6" spans="1:2" ht="14.25" customHeight="1" x14ac:dyDescent="0.25"/>
    <row r="7" spans="1:2" ht="14.25" customHeight="1" x14ac:dyDescent="0.25"/>
    <row r="8" spans="1:2" ht="14.25" customHeight="1" x14ac:dyDescent="0.25"/>
    <row r="9" spans="1:2" ht="14.25" customHeight="1" x14ac:dyDescent="0.25"/>
    <row r="10" spans="1:2" ht="14.25" customHeight="1" x14ac:dyDescent="0.25"/>
    <row r="11" spans="1:2" ht="14.25" customHeight="1" x14ac:dyDescent="0.25"/>
    <row r="12" spans="1:2" ht="14.25" customHeight="1" x14ac:dyDescent="0.25"/>
    <row r="13" spans="1:2" ht="14.25" customHeight="1" x14ac:dyDescent="0.25"/>
    <row r="14" spans="1:2" ht="14.25" customHeight="1" x14ac:dyDescent="0.25"/>
    <row r="15" spans="1:2" ht="14.25" customHeight="1" x14ac:dyDescent="0.25"/>
    <row r="16" spans="1:2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scale="90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1000"/>
  <sheetViews>
    <sheetView view="pageBreakPreview" zoomScale="60" zoomScaleNormal="100" workbookViewId="0"/>
  </sheetViews>
  <sheetFormatPr baseColWidth="10" defaultColWidth="14.42578125" defaultRowHeight="15" customHeight="1" x14ac:dyDescent="0.25"/>
  <cols>
    <col min="1" max="1" width="54.140625" customWidth="1"/>
    <col min="2" max="2" width="57.28515625" customWidth="1"/>
    <col min="3" max="6" width="10.7109375" customWidth="1"/>
  </cols>
  <sheetData>
    <row r="1" spans="1:2" ht="14.25" customHeight="1" x14ac:dyDescent="0.25">
      <c r="A1" s="50" t="s">
        <v>139</v>
      </c>
      <c r="B1" s="50" t="s">
        <v>140</v>
      </c>
    </row>
    <row r="2" spans="1:2" ht="105" x14ac:dyDescent="0.25">
      <c r="A2" s="56" t="s">
        <v>141</v>
      </c>
      <c r="B2" s="57" t="s">
        <v>156</v>
      </c>
    </row>
    <row r="3" spans="1:2" ht="60" x14ac:dyDescent="0.25">
      <c r="A3" s="56" t="s">
        <v>144</v>
      </c>
      <c r="B3" s="58" t="s">
        <v>157</v>
      </c>
    </row>
    <row r="4" spans="1:2" ht="90" x14ac:dyDescent="0.25">
      <c r="A4" s="60" t="s">
        <v>146</v>
      </c>
      <c r="B4" s="61" t="s">
        <v>158</v>
      </c>
    </row>
    <row r="5" spans="1:2" ht="75" x14ac:dyDescent="0.25">
      <c r="A5" s="62" t="s">
        <v>148</v>
      </c>
      <c r="B5" s="61" t="s">
        <v>159</v>
      </c>
    </row>
    <row r="6" spans="1:2" ht="14.25" customHeight="1" x14ac:dyDescent="0.25"/>
    <row r="7" spans="1:2" ht="14.25" customHeight="1" x14ac:dyDescent="0.25"/>
    <row r="8" spans="1:2" ht="14.25" customHeight="1" x14ac:dyDescent="0.25"/>
    <row r="9" spans="1:2" ht="14.25" customHeight="1" x14ac:dyDescent="0.25"/>
    <row r="10" spans="1:2" ht="14.25" customHeight="1" x14ac:dyDescent="0.25"/>
    <row r="11" spans="1:2" ht="14.25" customHeight="1" x14ac:dyDescent="0.25"/>
    <row r="12" spans="1:2" ht="14.25" customHeight="1" x14ac:dyDescent="0.25"/>
    <row r="13" spans="1:2" ht="14.25" customHeight="1" x14ac:dyDescent="0.25"/>
    <row r="14" spans="1:2" ht="14.25" customHeight="1" x14ac:dyDescent="0.25"/>
    <row r="15" spans="1:2" ht="14.25" customHeight="1" x14ac:dyDescent="0.25"/>
    <row r="16" spans="1:2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1000"/>
  <sheetViews>
    <sheetView view="pageBreakPreview" zoomScale="60" zoomScaleNormal="100" workbookViewId="0"/>
  </sheetViews>
  <sheetFormatPr baseColWidth="10" defaultColWidth="14.42578125" defaultRowHeight="15" customHeight="1" x14ac:dyDescent="0.25"/>
  <cols>
    <col min="1" max="1" width="53.140625" customWidth="1"/>
    <col min="2" max="2" width="57.28515625" customWidth="1"/>
    <col min="3" max="6" width="10.7109375" customWidth="1"/>
  </cols>
  <sheetData>
    <row r="1" spans="1:2" ht="14.25" customHeight="1" x14ac:dyDescent="0.25">
      <c r="A1" s="50" t="s">
        <v>139</v>
      </c>
      <c r="B1" s="50" t="s">
        <v>140</v>
      </c>
    </row>
    <row r="2" spans="1:2" ht="132.75" customHeight="1" x14ac:dyDescent="0.25">
      <c r="A2" s="51" t="s">
        <v>141</v>
      </c>
      <c r="B2" s="52" t="s">
        <v>160</v>
      </c>
    </row>
    <row r="3" spans="1:2" ht="55.5" customHeight="1" x14ac:dyDescent="0.25">
      <c r="A3" s="51" t="s">
        <v>144</v>
      </c>
      <c r="B3" s="53" t="s">
        <v>161</v>
      </c>
    </row>
    <row r="4" spans="1:2" ht="111.75" customHeight="1" x14ac:dyDescent="0.25">
      <c r="A4" s="54" t="s">
        <v>146</v>
      </c>
      <c r="B4" s="55" t="s">
        <v>162</v>
      </c>
    </row>
    <row r="5" spans="1:2" ht="117.75" customHeight="1" x14ac:dyDescent="0.25">
      <c r="A5" s="54" t="s">
        <v>148</v>
      </c>
      <c r="B5" s="55" t="s">
        <v>163</v>
      </c>
    </row>
    <row r="6" spans="1:2" ht="14.25" customHeight="1" x14ac:dyDescent="0.25"/>
    <row r="7" spans="1:2" ht="14.25" customHeight="1" x14ac:dyDescent="0.25"/>
    <row r="8" spans="1:2" ht="14.25" customHeight="1" x14ac:dyDescent="0.25"/>
    <row r="9" spans="1:2" ht="14.25" customHeight="1" x14ac:dyDescent="0.25"/>
    <row r="10" spans="1:2" ht="14.25" customHeight="1" x14ac:dyDescent="0.25"/>
    <row r="11" spans="1:2" ht="14.25" customHeight="1" x14ac:dyDescent="0.25"/>
    <row r="12" spans="1:2" ht="14.25" customHeight="1" x14ac:dyDescent="0.25"/>
    <row r="13" spans="1:2" ht="14.25" customHeight="1" x14ac:dyDescent="0.25"/>
    <row r="14" spans="1:2" ht="14.25" customHeight="1" x14ac:dyDescent="0.25"/>
    <row r="15" spans="1:2" ht="14.25" customHeight="1" x14ac:dyDescent="0.25"/>
    <row r="16" spans="1:2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1000"/>
  <sheetViews>
    <sheetView view="pageBreakPreview" zoomScale="60" zoomScaleNormal="100" workbookViewId="0"/>
  </sheetViews>
  <sheetFormatPr baseColWidth="10" defaultColWidth="14.42578125" defaultRowHeight="15" customHeight="1" x14ac:dyDescent="0.25"/>
  <cols>
    <col min="1" max="1" width="78.85546875" customWidth="1"/>
    <col min="2" max="2" width="57.28515625" customWidth="1"/>
    <col min="3" max="6" width="10.7109375" customWidth="1"/>
  </cols>
  <sheetData>
    <row r="1" spans="1:2" ht="14.25" customHeight="1" x14ac:dyDescent="0.25">
      <c r="A1" s="50" t="s">
        <v>139</v>
      </c>
      <c r="B1" s="50" t="s">
        <v>140</v>
      </c>
    </row>
    <row r="2" spans="1:2" ht="83.25" customHeight="1" x14ac:dyDescent="0.25">
      <c r="A2" s="56" t="s">
        <v>141</v>
      </c>
      <c r="B2" s="57" t="s">
        <v>164</v>
      </c>
    </row>
    <row r="3" spans="1:2" ht="100.5" customHeight="1" x14ac:dyDescent="0.25">
      <c r="A3" s="56" t="s">
        <v>144</v>
      </c>
      <c r="B3" s="58" t="s">
        <v>165</v>
      </c>
    </row>
    <row r="4" spans="1:2" ht="60" x14ac:dyDescent="0.25">
      <c r="A4" s="59" t="s">
        <v>152</v>
      </c>
      <c r="B4" s="58" t="s">
        <v>166</v>
      </c>
    </row>
    <row r="5" spans="1:2" ht="83.25" customHeight="1" x14ac:dyDescent="0.25">
      <c r="A5" s="60" t="s">
        <v>148</v>
      </c>
      <c r="B5" s="61" t="s">
        <v>167</v>
      </c>
    </row>
    <row r="6" spans="1:2" ht="14.25" customHeight="1" x14ac:dyDescent="0.25"/>
    <row r="7" spans="1:2" ht="14.25" customHeight="1" x14ac:dyDescent="0.25"/>
    <row r="8" spans="1:2" ht="14.25" customHeight="1" x14ac:dyDescent="0.25"/>
    <row r="9" spans="1:2" ht="14.25" customHeight="1" x14ac:dyDescent="0.25"/>
    <row r="10" spans="1:2" ht="14.25" customHeight="1" x14ac:dyDescent="0.25"/>
    <row r="11" spans="1:2" ht="14.25" customHeight="1" x14ac:dyDescent="0.25"/>
    <row r="12" spans="1:2" ht="14.25" customHeight="1" x14ac:dyDescent="0.25"/>
    <row r="13" spans="1:2" ht="14.25" customHeight="1" x14ac:dyDescent="0.25"/>
    <row r="14" spans="1:2" ht="14.25" customHeight="1" x14ac:dyDescent="0.25"/>
    <row r="15" spans="1:2" ht="14.25" customHeight="1" x14ac:dyDescent="0.25"/>
    <row r="16" spans="1:2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scale="90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1000"/>
  <sheetViews>
    <sheetView view="pageBreakPreview" zoomScale="60" zoomScaleNormal="100" workbookViewId="0"/>
  </sheetViews>
  <sheetFormatPr baseColWidth="10" defaultColWidth="14.42578125" defaultRowHeight="15" customHeight="1" x14ac:dyDescent="0.25"/>
  <cols>
    <col min="1" max="1" width="54.140625" customWidth="1"/>
    <col min="2" max="2" width="57.28515625" customWidth="1"/>
    <col min="3" max="6" width="10.7109375" customWidth="1"/>
  </cols>
  <sheetData>
    <row r="1" spans="1:2" ht="14.25" customHeight="1" x14ac:dyDescent="0.25">
      <c r="A1" s="50" t="s">
        <v>139</v>
      </c>
      <c r="B1" s="50" t="s">
        <v>140</v>
      </c>
    </row>
    <row r="2" spans="1:2" ht="105" x14ac:dyDescent="0.25">
      <c r="A2" s="56" t="s">
        <v>141</v>
      </c>
      <c r="B2" s="57" t="s">
        <v>156</v>
      </c>
    </row>
    <row r="3" spans="1:2" ht="60" x14ac:dyDescent="0.25">
      <c r="A3" s="56" t="s">
        <v>144</v>
      </c>
      <c r="B3" s="58" t="s">
        <v>168</v>
      </c>
    </row>
    <row r="4" spans="1:2" ht="75" x14ac:dyDescent="0.25">
      <c r="A4" s="60" t="s">
        <v>146</v>
      </c>
      <c r="B4" s="61" t="s">
        <v>169</v>
      </c>
    </row>
    <row r="5" spans="1:2" ht="60" x14ac:dyDescent="0.25">
      <c r="A5" s="62" t="s">
        <v>148</v>
      </c>
      <c r="B5" s="61" t="s">
        <v>170</v>
      </c>
    </row>
    <row r="6" spans="1:2" ht="14.25" customHeight="1" x14ac:dyDescent="0.25"/>
    <row r="7" spans="1:2" ht="14.25" customHeight="1" x14ac:dyDescent="0.25"/>
    <row r="8" spans="1:2" ht="14.25" customHeight="1" x14ac:dyDescent="0.25"/>
    <row r="9" spans="1:2" ht="14.25" customHeight="1" x14ac:dyDescent="0.25"/>
    <row r="10" spans="1:2" ht="14.25" customHeight="1" x14ac:dyDescent="0.25"/>
    <row r="11" spans="1:2" ht="14.25" customHeight="1" x14ac:dyDescent="0.25"/>
    <row r="12" spans="1:2" ht="14.25" customHeight="1" x14ac:dyDescent="0.25"/>
    <row r="13" spans="1:2" ht="14.25" customHeight="1" x14ac:dyDescent="0.25"/>
    <row r="14" spans="1:2" ht="14.25" customHeight="1" x14ac:dyDescent="0.25"/>
    <row r="15" spans="1:2" ht="14.25" customHeight="1" x14ac:dyDescent="0.25"/>
    <row r="16" spans="1:2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1000"/>
  <sheetViews>
    <sheetView view="pageBreakPreview" zoomScale="60" zoomScaleNormal="100" workbookViewId="0"/>
  </sheetViews>
  <sheetFormatPr baseColWidth="10" defaultColWidth="14.42578125" defaultRowHeight="15" customHeight="1" x14ac:dyDescent="0.25"/>
  <cols>
    <col min="1" max="1" width="53.140625" customWidth="1"/>
    <col min="2" max="2" width="57.28515625" customWidth="1"/>
    <col min="3" max="6" width="10.7109375" customWidth="1"/>
  </cols>
  <sheetData>
    <row r="1" spans="1:2" ht="14.25" customHeight="1" x14ac:dyDescent="0.25">
      <c r="A1" s="50" t="s">
        <v>139</v>
      </c>
      <c r="B1" s="50" t="s">
        <v>140</v>
      </c>
    </row>
    <row r="2" spans="1:2" ht="132.75" customHeight="1" x14ac:dyDescent="0.25">
      <c r="A2" s="51" t="s">
        <v>141</v>
      </c>
      <c r="B2" s="52" t="s">
        <v>171</v>
      </c>
    </row>
    <row r="3" spans="1:2" ht="55.5" customHeight="1" x14ac:dyDescent="0.25">
      <c r="A3" s="51" t="s">
        <v>144</v>
      </c>
      <c r="B3" s="53" t="s">
        <v>172</v>
      </c>
    </row>
    <row r="4" spans="1:2" ht="111.75" customHeight="1" x14ac:dyDescent="0.25">
      <c r="A4" s="54" t="s">
        <v>146</v>
      </c>
      <c r="B4" s="55" t="s">
        <v>175</v>
      </c>
    </row>
    <row r="5" spans="1:2" ht="117.75" customHeight="1" x14ac:dyDescent="0.25">
      <c r="A5" s="54" t="s">
        <v>148</v>
      </c>
      <c r="B5" s="55" t="s">
        <v>176</v>
      </c>
    </row>
    <row r="6" spans="1:2" ht="14.25" customHeight="1" x14ac:dyDescent="0.25"/>
    <row r="7" spans="1:2" ht="14.25" customHeight="1" x14ac:dyDescent="0.25"/>
    <row r="8" spans="1:2" ht="14.25" customHeight="1" x14ac:dyDescent="0.25"/>
    <row r="9" spans="1:2" ht="14.25" customHeight="1" x14ac:dyDescent="0.25"/>
    <row r="10" spans="1:2" ht="14.25" customHeight="1" x14ac:dyDescent="0.25"/>
    <row r="11" spans="1:2" ht="14.25" customHeight="1" x14ac:dyDescent="0.25"/>
    <row r="12" spans="1:2" ht="14.25" customHeight="1" x14ac:dyDescent="0.25"/>
    <row r="13" spans="1:2" ht="14.25" customHeight="1" x14ac:dyDescent="0.25"/>
    <row r="14" spans="1:2" ht="14.25" customHeight="1" x14ac:dyDescent="0.25"/>
    <row r="15" spans="1:2" ht="14.25" customHeight="1" x14ac:dyDescent="0.25"/>
    <row r="16" spans="1:2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B1000"/>
  <sheetViews>
    <sheetView view="pageBreakPreview" zoomScale="60" zoomScaleNormal="100" workbookViewId="0"/>
  </sheetViews>
  <sheetFormatPr baseColWidth="10" defaultColWidth="14.42578125" defaultRowHeight="15" customHeight="1" x14ac:dyDescent="0.25"/>
  <cols>
    <col min="1" max="1" width="78.85546875" customWidth="1"/>
    <col min="2" max="2" width="57.28515625" customWidth="1"/>
    <col min="3" max="6" width="10.7109375" customWidth="1"/>
  </cols>
  <sheetData>
    <row r="1" spans="1:2" ht="14.25" customHeight="1" x14ac:dyDescent="0.25">
      <c r="A1" s="50" t="s">
        <v>139</v>
      </c>
      <c r="B1" s="50" t="s">
        <v>140</v>
      </c>
    </row>
    <row r="2" spans="1:2" ht="83.25" customHeight="1" x14ac:dyDescent="0.25">
      <c r="A2" s="56" t="s">
        <v>141</v>
      </c>
      <c r="B2" s="57" t="s">
        <v>173</v>
      </c>
    </row>
    <row r="3" spans="1:2" ht="100.5" customHeight="1" x14ac:dyDescent="0.25">
      <c r="A3" s="56" t="s">
        <v>144</v>
      </c>
      <c r="B3" s="58" t="s">
        <v>174</v>
      </c>
    </row>
    <row r="4" spans="1:2" ht="60" x14ac:dyDescent="0.25">
      <c r="A4" s="59" t="s">
        <v>152</v>
      </c>
      <c r="B4" s="58" t="s">
        <v>177</v>
      </c>
    </row>
    <row r="5" spans="1:2" ht="83.25" customHeight="1" x14ac:dyDescent="0.25">
      <c r="A5" s="60" t="s">
        <v>148</v>
      </c>
      <c r="B5" s="61" t="s">
        <v>178</v>
      </c>
    </row>
    <row r="6" spans="1:2" ht="14.25" customHeight="1" x14ac:dyDescent="0.25"/>
    <row r="7" spans="1:2" ht="14.25" customHeight="1" x14ac:dyDescent="0.25"/>
    <row r="8" spans="1:2" ht="14.25" customHeight="1" x14ac:dyDescent="0.25"/>
    <row r="9" spans="1:2" ht="14.25" customHeight="1" x14ac:dyDescent="0.25"/>
    <row r="10" spans="1:2" ht="14.25" customHeight="1" x14ac:dyDescent="0.25"/>
    <row r="11" spans="1:2" ht="14.25" customHeight="1" x14ac:dyDescent="0.25"/>
    <row r="12" spans="1:2" ht="14.25" customHeight="1" x14ac:dyDescent="0.25"/>
    <row r="13" spans="1:2" ht="14.25" customHeight="1" x14ac:dyDescent="0.25"/>
    <row r="14" spans="1:2" ht="14.25" customHeight="1" x14ac:dyDescent="0.25"/>
    <row r="15" spans="1:2" ht="14.25" customHeight="1" x14ac:dyDescent="0.25"/>
    <row r="16" spans="1:2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scale="90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B1000"/>
  <sheetViews>
    <sheetView view="pageBreakPreview" zoomScale="60" zoomScaleNormal="100" workbookViewId="0"/>
  </sheetViews>
  <sheetFormatPr baseColWidth="10" defaultColWidth="14.42578125" defaultRowHeight="15" customHeight="1" x14ac:dyDescent="0.25"/>
  <cols>
    <col min="1" max="1" width="54.140625" customWidth="1"/>
    <col min="2" max="2" width="57.28515625" customWidth="1"/>
    <col min="3" max="6" width="10.7109375" customWidth="1"/>
  </cols>
  <sheetData>
    <row r="1" spans="1:2" ht="14.25" customHeight="1" x14ac:dyDescent="0.25">
      <c r="A1" s="50" t="s">
        <v>139</v>
      </c>
      <c r="B1" s="50" t="s">
        <v>140</v>
      </c>
    </row>
    <row r="2" spans="1:2" ht="90" x14ac:dyDescent="0.25">
      <c r="A2" s="56" t="s">
        <v>141</v>
      </c>
      <c r="B2" s="57" t="s">
        <v>179</v>
      </c>
    </row>
    <row r="3" spans="1:2" ht="60" x14ac:dyDescent="0.25">
      <c r="A3" s="56" t="s">
        <v>144</v>
      </c>
      <c r="B3" s="58" t="s">
        <v>180</v>
      </c>
    </row>
    <row r="4" spans="1:2" ht="90" x14ac:dyDescent="0.25">
      <c r="A4" s="60" t="s">
        <v>146</v>
      </c>
      <c r="B4" s="61" t="s">
        <v>181</v>
      </c>
    </row>
    <row r="5" spans="1:2" ht="60" x14ac:dyDescent="0.25">
      <c r="A5" s="62" t="s">
        <v>148</v>
      </c>
      <c r="B5" s="61" t="s">
        <v>182</v>
      </c>
    </row>
    <row r="6" spans="1:2" ht="14.25" customHeight="1" x14ac:dyDescent="0.25"/>
    <row r="7" spans="1:2" ht="14.25" customHeight="1" x14ac:dyDescent="0.25"/>
    <row r="8" spans="1:2" ht="14.25" customHeight="1" x14ac:dyDescent="0.25"/>
    <row r="9" spans="1:2" ht="14.25" customHeight="1" x14ac:dyDescent="0.25"/>
    <row r="10" spans="1:2" ht="14.25" customHeight="1" x14ac:dyDescent="0.25"/>
    <row r="11" spans="1:2" ht="14.25" customHeight="1" x14ac:dyDescent="0.25"/>
    <row r="12" spans="1:2" ht="14.25" customHeight="1" x14ac:dyDescent="0.25"/>
    <row r="13" spans="1:2" ht="14.25" customHeight="1" x14ac:dyDescent="0.25"/>
    <row r="14" spans="1:2" ht="14.25" customHeight="1" x14ac:dyDescent="0.25"/>
    <row r="15" spans="1:2" ht="14.25" customHeight="1" x14ac:dyDescent="0.25"/>
    <row r="16" spans="1:2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B1000"/>
  <sheetViews>
    <sheetView view="pageBreakPreview" zoomScale="60" zoomScaleNormal="100" workbookViewId="0"/>
  </sheetViews>
  <sheetFormatPr baseColWidth="10" defaultColWidth="14.42578125" defaultRowHeight="15" customHeight="1" x14ac:dyDescent="0.25"/>
  <cols>
    <col min="1" max="1" width="53.140625" customWidth="1"/>
    <col min="2" max="2" width="57.28515625" customWidth="1"/>
    <col min="3" max="6" width="10.7109375" customWidth="1"/>
  </cols>
  <sheetData>
    <row r="1" spans="1:2" ht="14.25" customHeight="1" x14ac:dyDescent="0.25">
      <c r="A1" s="50" t="s">
        <v>139</v>
      </c>
      <c r="B1" s="50" t="s">
        <v>140</v>
      </c>
    </row>
    <row r="2" spans="1:2" ht="132.75" customHeight="1" x14ac:dyDescent="0.25">
      <c r="A2" s="51" t="s">
        <v>141</v>
      </c>
      <c r="B2" s="52" t="s">
        <v>183</v>
      </c>
    </row>
    <row r="3" spans="1:2" ht="55.5" customHeight="1" x14ac:dyDescent="0.25">
      <c r="A3" s="51" t="s">
        <v>144</v>
      </c>
      <c r="B3" s="53" t="s">
        <v>184</v>
      </c>
    </row>
    <row r="4" spans="1:2" ht="111.75" customHeight="1" x14ac:dyDescent="0.25">
      <c r="A4" s="54" t="s">
        <v>146</v>
      </c>
      <c r="B4" s="55" t="s">
        <v>185</v>
      </c>
    </row>
    <row r="5" spans="1:2" ht="117.75" customHeight="1" x14ac:dyDescent="0.25">
      <c r="A5" s="54" t="s">
        <v>148</v>
      </c>
      <c r="B5" s="55" t="s">
        <v>186</v>
      </c>
    </row>
    <row r="6" spans="1:2" ht="14.25" customHeight="1" x14ac:dyDescent="0.25"/>
    <row r="7" spans="1:2" ht="14.25" customHeight="1" x14ac:dyDescent="0.25"/>
    <row r="8" spans="1:2" ht="14.25" customHeight="1" x14ac:dyDescent="0.25"/>
    <row r="9" spans="1:2" ht="14.25" customHeight="1" x14ac:dyDescent="0.25"/>
    <row r="10" spans="1:2" ht="14.25" customHeight="1" x14ac:dyDescent="0.25"/>
    <row r="11" spans="1:2" ht="14.25" customHeight="1" x14ac:dyDescent="0.25"/>
    <row r="12" spans="1:2" ht="14.25" customHeight="1" x14ac:dyDescent="0.25"/>
    <row r="13" spans="1:2" ht="14.25" customHeight="1" x14ac:dyDescent="0.25"/>
    <row r="14" spans="1:2" ht="14.25" customHeight="1" x14ac:dyDescent="0.25"/>
    <row r="15" spans="1:2" ht="14.25" customHeight="1" x14ac:dyDescent="0.25"/>
    <row r="16" spans="1:2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21</vt:i4>
      </vt:variant>
      <vt:variant>
        <vt:lpstr>Rangos con nombre</vt:lpstr>
      </vt:variant>
      <vt:variant>
        <vt:i4>4</vt:i4>
      </vt:variant>
    </vt:vector>
  </HeadingPairs>
  <TitlesOfParts>
    <vt:vector size="25" baseType="lpstr">
      <vt:lpstr>Matriz Ckeck LIst</vt:lpstr>
      <vt:lpstr>MODELO LISTA DE COMPROBACION - </vt:lpstr>
      <vt:lpstr>MODELO LISTA DE COMPROBACIÓN - </vt:lpstr>
      <vt:lpstr>MODELO DE LISTA DE COMPROBACION</vt:lpstr>
      <vt:lpstr>Hoja 1</vt:lpstr>
      <vt:lpstr>Hoja 2</vt:lpstr>
      <vt:lpstr>Hoja 3</vt:lpstr>
      <vt:lpstr>Hoja 4</vt:lpstr>
      <vt:lpstr>Hoja 5</vt:lpstr>
      <vt:lpstr>Hoja 6</vt:lpstr>
      <vt:lpstr>Hoja 7</vt:lpstr>
      <vt:lpstr>RECOMENDACIONES - CU-01</vt:lpstr>
      <vt:lpstr>RECOMENDACIONES - CU-02</vt:lpstr>
      <vt:lpstr>RECOMENDACIONES - CU-03</vt:lpstr>
      <vt:lpstr>RECOMENDACIONES - CU-04</vt:lpstr>
      <vt:lpstr>RECOMENDACIONES - CU-05</vt:lpstr>
      <vt:lpstr>RECOMENDACIONES - CU-06</vt:lpstr>
      <vt:lpstr>RECOMENDACIONES - CU-07</vt:lpstr>
      <vt:lpstr>RECOMENDACIONES - CU-08</vt:lpstr>
      <vt:lpstr>RECOMENDACIONES - CU-09</vt:lpstr>
      <vt:lpstr>RECOMENDACIONES - CU-10</vt:lpstr>
      <vt:lpstr>'Hoja 1'!Área_de_impresión</vt:lpstr>
      <vt:lpstr>'MODELO DE LISTA DE COMPROBACION'!Área_de_impresión</vt:lpstr>
      <vt:lpstr>'MODELO LISTA DE COMPROBACION - '!Área_de_impresión</vt:lpstr>
      <vt:lpstr>'MODELO LISTA DE COMPROBACIÓN - 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</dc:creator>
  <cp:lastModifiedBy>ANDRES SEBASTIAN CARDENAS ERAZO</cp:lastModifiedBy>
  <cp:lastPrinted>2026-10-12T16:58:24Z</cp:lastPrinted>
  <dcterms:created xsi:type="dcterms:W3CDTF">2026-10-12T17:05:33Z</dcterms:created>
  <dcterms:modified xsi:type="dcterms:W3CDTF">2026-10-12T17:05:33Z</dcterms:modified>
</cp:coreProperties>
</file>