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4"/>
    <sheet state="visible" name="MODELO LISTA DE COMPROBACION - " sheetId="2" r:id="rId5"/>
    <sheet state="visible" name="MODELO LISTA DE COMPROBACIÓN - " sheetId="3" r:id="rId6"/>
    <sheet state="visible" name="MODELO DE LISTA DE COMPROBACION" sheetId="4" r:id="rId7"/>
    <sheet state="visible" name="RECOMENDACIONES - CU-01" sheetId="5" r:id="rId8"/>
    <sheet state="visible" name="RECOMENDACIONES - CU-02" sheetId="6" r:id="rId9"/>
    <sheet state="visible" name="RECOMENDACIONES - CU-03" sheetId="7" r:id="rId10"/>
  </sheets>
  <definedNames/>
  <calcPr/>
  <extLst>
    <ext uri="GoogleSheetsCustomDataVersion2">
      <go:sheetsCustomData xmlns:go="http://customooxmlschemas.google.com/" r:id="rId11" roundtripDataChecksum="gRbFt6+Lx5J3TdC91XUBAdg8j3d5B6nXlGqmiT49On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ID#AAACGm7XmjM
jeny ruiz    (2026-10-01 13:23:12)
Es importante ingresar el archivo plano en formato excel para el cliente y el desarrollador</t>
      </text>
    </comment>
    <comment authorId="0" ref="G7">
      <text>
        <t xml:space="preserve">======
ID#AAACGm7Xmio
jeny ruiz    (2026-10-01 13:23:12)
Control del nivel de acuedo entre las partes Cliente y Desarrollador</t>
      </text>
    </comment>
    <comment authorId="0" ref="I7">
      <text>
        <t xml:space="preserve">======
ID#AAACGm7XmlU
jeny ruiz    (2026-10-01 13:23:12)
Se guarda en un archivo Excel los registros que dieron un problema en la actualización.</t>
      </text>
    </comment>
    <comment authorId="0" ref="K9">
      <text>
        <t xml:space="preserve">======
ID#AAACGm7XmkA
jeny ruiz    (2026-10-01 13:23:12)
Es importante ingresar el archivo plano en formato excel para el cliente y el desarrollador</t>
      </text>
    </comment>
    <comment authorId="0" ref="J7">
      <text>
        <t xml:space="preserve">======
ID#AAACGm7XmjA
jeny ruiz    (2026-10-01 13:23:12)
Control del nivel de acuedo entre las partes Cliente y Desarrollador</t>
      </text>
    </comment>
    <comment authorId="0" ref="K7">
      <text>
        <t xml:space="preserve">======
ID#AAACGm7Xmjg
jeny ruiz    (2026-10-01 13:23:12)
jeny ruiz:
Posterior a la actualización, se guardaran automáticamente el nombre de usuario, fecha, hora, registro antiguo, registro nuevo.</t>
      </text>
    </comment>
    <comment authorId="0" ref="C19">
      <text>
        <t xml:space="preserve">======
ID#AAACGm7Xmi0
jeny ruiz    (2026-10-01 13:23:12)
Para todos los interesados dependiendo  de la fase del proyecto podrían estar involucrados  distintos implicados,(Glosario de tèrminos)</t>
      </text>
    </comment>
    <comment authorId="0" ref="C18">
      <text>
        <t xml:space="preserve">======
ID#AAACGm7XmkU
jeny ruiz    (2026-10-01 13:23:12)
Trata todos los asuntos relevantes</t>
      </text>
    </comment>
    <comment authorId="0" ref="C17">
      <text>
        <t xml:space="preserve">======
ID#AAACGm7Xmk4
jeny ruiz    (2026-10-01 13:23:12)
El origen del requisito y sus relaciones con otros requisitos  están claros.</t>
      </text>
    </comment>
    <comment authorId="0" ref="C16">
      <text>
        <t xml:space="preserve">======
ID#AAACGm7XmjU
jeny ruiz    (2026-10-01 13:23:12)
Puede ser implementado  y desarrollado en las condiciones actuales(tiempo, Presupuest,, orgtanizaciòn, ect)</t>
      </text>
    </comment>
    <comment authorId="0" ref="C15">
      <text>
        <t xml:space="preserve">======
ID#AAACGm7XmlQ
jeny ruiz    (2026-10-01 13:23:12)
Su cumplimiento o no cumplimiento puede der probado con un esfuerzo razonable</t>
      </text>
    </comment>
    <comment authorId="0" ref="C14">
      <text>
        <t xml:space="preserve">======
ID#AAACGm7XmjQ
jeny ruiz    (2026-10-01 13:23:12)
Sin contradicciones</t>
      </text>
    </comment>
    <comment authorId="0" ref="C13">
      <text>
        <t xml:space="preserve">======
ID#AAACGm7XmlM
jeny ruiz    (2026-10-01 13:23:12)
Refleja las espectativas  del implicado</t>
      </text>
    </comment>
    <comment authorId="0" ref="C12">
      <text>
        <t xml:space="preserve">======
ID#AAACGm7Xmkk
jeny ruiz    (2026-10-01 13:23:12)
Toda nueva información  ha sido incorporada</t>
      </text>
    </comment>
    <comment authorId="0" ref="C11">
      <text>
        <t xml:space="preserve">======
ID#AAACGm7Xmiw
jeny ruiz    (2026-10-01 13:23:12)
Todos los lectores comprenden de la misma manera, sólo una interpretación</t>
      </text>
    </comment>
    <comment authorId="0" ref="C10">
      <text>
        <t xml:space="preserve">======
ID#AAACGm7Xmk0
jeny ruiz    (2026-10-01 13:23:12)
Ponderado por importancia o prioridad</t>
      </text>
    </comment>
    <comment authorId="0" ref="C9">
      <text>
        <t xml:space="preserve">======
ID#AAACGm7Xmis
jeny ruiz    (2026-10-01 13:23:12)
Todos los interesados reconocen que el  requisito es correcto y relevante</t>
      </text>
    </comment>
    <comment authorId="0" ref="F9">
      <text>
        <t xml:space="preserve">======
ID#AAACGm7Xmjo
jeny ruiz    (2026-10-01 13:23:12)
Es importante ingresar el archivo plano en formato excel para el cliente y el desarrollador</t>
      </text>
    </comment>
    <comment authorId="0" ref="E7">
      <text>
        <t xml:space="preserve">======
ID#AAACGm7XmkQ
jeny ruiz    (2026-10-01 13:23:12)
Control del nivel de acuedo entre las partes Cliente y Desarrollador</t>
      </text>
    </comment>
    <comment authorId="0" ref="F7">
      <text>
        <t xml:space="preserve">======
ID#AAACGm7Xmkw
jeny ruiz    (2026-10-01 13:23:12)
La información contenida en memoria se utiliza para actualizar los campos de la base de datos.</t>
      </text>
    </comment>
  </commentList>
  <extLst>
    <ext uri="GoogleSheetsCustomDataVersion2">
      <go:sheetsCustomData xmlns:go="http://customooxmlschemas.google.com/" r:id="rId1" roundtripDataSignature="AMtx7mjNXMnDHCrXNV9n1lfcocnysu+JV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ID#AAACGm7Xmkc
ESPE    (2026-10-01 13:23:12)
verificable</t>
      </text>
    </comment>
    <comment authorId="0" ref="B15">
      <text>
        <t xml:space="preserve">======
ID#AAACGm7XmkY
ESPE    (2026-10-01 13:23:12)
NECESIDAD</t>
      </text>
    </comment>
    <comment authorId="0" ref="B14">
      <text>
        <t xml:space="preserve">======
ID#AAACGm7Xmi4
ESPE    (2026-10-01 13:23:12)
CONSISTENCIA</t>
      </text>
    </comment>
    <comment authorId="0" ref="B13">
      <text>
        <t xml:space="preserve">======
ID#AAACGm7XmlY
ESPE    (2026-10-01 13:23:12)
CORRECCION</t>
      </text>
    </comment>
    <comment authorId="0" ref="B12">
      <text>
        <t xml:space="preserve">======
ID#AAACGm7XmjY
ESPE    (2026-10-01 13:23:12)
TRAZABILIDAD</t>
      </text>
    </comment>
    <comment authorId="0" ref="B11">
      <text>
        <t xml:space="preserve">======
ID#AAACGm7XmkM
ESPE    (2026-10-01 13:23:12)
trazabilidad</t>
      </text>
    </comment>
    <comment authorId="0" ref="B10">
      <text>
        <t xml:space="preserve">======
ID#AAACGm7Xmjk
ESPE    (2026-10-01 13:23:12)
TRAZABILIDAD</t>
      </text>
    </comment>
    <comment authorId="0" ref="B9">
      <text>
        <t xml:space="preserve">======
ID#AAACGm7Xmks
ESPE    (2026-10-01 13:23:12)
COMPLETITUD REQUISITO INDIVIDUAL</t>
      </text>
    </comment>
    <comment authorId="0" ref="B8">
      <text>
        <t xml:space="preserve">======
ID#AAACGm7Xmkg
ESPE    (2026-10-01 13:23:12)
COMPLETITUD DOCUMENTO</t>
      </text>
    </comment>
  </commentList>
  <extLst>
    <ext uri="GoogleSheetsCustomDataVersion2">
      <go:sheetsCustomData xmlns:go="http://customooxmlschemas.google.com/" r:id="rId1" roundtripDataSignature="AMtx7mgv1pJPbyUW3bbzVzRYNokrvBanu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ID#AAACGm7Xmj0
ESPE    (2026-10-01 13:23:12)
verificable</t>
      </text>
    </comment>
    <comment authorId="0" ref="B15">
      <text>
        <t xml:space="preserve">======
ID#AAACGm7XmkE
ESPE    (2026-10-01 13:23:12)
NECESIDAD</t>
      </text>
    </comment>
    <comment authorId="0" ref="B14">
      <text>
        <t xml:space="preserve">======
ID#AAACGm7XmlA
ESPE    (2026-10-01 13:23:12)
CONSISTENCIA</t>
      </text>
    </comment>
    <comment authorId="0" ref="B13">
      <text>
        <t xml:space="preserve">======
ID#AAACGm7Xmj4
ESPE    (2026-10-01 13:23:12)
CORRECCION</t>
      </text>
    </comment>
    <comment authorId="0" ref="B12">
      <text>
        <t xml:space="preserve">======
ID#AAACGm7Xmjw
ESPE    (2026-10-01 13:23:12)
TRAZABILIDAD</t>
      </text>
    </comment>
    <comment authorId="0" ref="B11">
      <text>
        <t xml:space="preserve">======
ID#AAACGm7Xmjc
ESPE    (2026-10-01 13:23:12)
trazabilidad</t>
      </text>
    </comment>
    <comment authorId="0" ref="B10">
      <text>
        <t xml:space="preserve">======
ID#AAACGm7XmlE
ESPE    (2026-10-01 13:23:12)
TRAZABILIDAD</t>
      </text>
    </comment>
    <comment authorId="0" ref="B9">
      <text>
        <t xml:space="preserve">======
ID#AAACGm7Xmko
ESPE    (2026-10-01 13:23:12)
COMPLETITUD REQUISITO INDIVIDUAL</t>
      </text>
    </comment>
    <comment authorId="0" ref="B8">
      <text>
        <t xml:space="preserve">======
ID#AAACGm7Xmjs
ESPE    (2026-10-01 13:23:12)
COMPLETITUD DOCUMENTO</t>
      </text>
    </comment>
  </commentList>
  <extLst>
    <ext uri="GoogleSheetsCustomDataVersion2">
      <go:sheetsCustomData xmlns:go="http://customooxmlschemas.google.com/" r:id="rId1" roundtripDataSignature="AMtx7mjA08HEaQVlRcSRtgHCmp2ZDd0Ka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">
      <text>
        <t xml:space="preserve">======
ID#AAACGm7XmjE
ESPE    (2026-10-01 13:23:12)
verificable</t>
      </text>
    </comment>
    <comment authorId="0" ref="B15">
      <text>
        <t xml:space="preserve">======
ID#AAACGm7XmlI
ESPE    (2026-10-01 13:23:12)
NECESIDAD</t>
      </text>
    </comment>
    <comment authorId="0" ref="B14">
      <text>
        <t xml:space="preserve">======
ID#AAACGm7Xmik
ESPE    (2026-10-01 13:23:12)
CONSISTENCIA</t>
      </text>
    </comment>
    <comment authorId="0" ref="B13">
      <text>
        <t xml:space="preserve">======
ID#AAACGm7Xmj8
ESPE    (2026-10-01 13:23:12)
CORRECCION</t>
      </text>
    </comment>
    <comment authorId="0" ref="B12">
      <text>
        <t xml:space="preserve">======
ID#AAACGm7Xmi8
ESPE    (2026-10-01 13:23:12)
TRAZABILIDAD</t>
      </text>
    </comment>
    <comment authorId="0" ref="B11">
      <text>
        <t xml:space="preserve">======
ID#AAACGm7XmjI
ESPE    (2026-10-01 13:23:12)
trazabilidad</t>
      </text>
    </comment>
    <comment authorId="0" ref="B10">
      <text>
        <t xml:space="preserve">======
ID#AAACGm7XmkI
ESPE    (2026-10-01 13:23:12)
TRAZABILIDAD</t>
      </text>
    </comment>
    <comment authorId="0" ref="B9">
      <text>
        <t xml:space="preserve">======
ID#AAACGm7Xmk8
ESPE    (2026-10-01 13:23:12)
COMPLETITUD REQUISITO INDIVIDUAL</t>
      </text>
    </comment>
    <comment authorId="0" ref="B8">
      <text>
        <t xml:space="preserve">======
ID#AAACGm7Xmig
ESPE    (2026-10-01 13:23:12)
COMPLETITUD DOCUMENTO</t>
      </text>
    </comment>
  </commentList>
  <extLst>
    <ext uri="GoogleSheetsCustomDataVersion2">
      <go:sheetsCustomData xmlns:go="http://customooxmlschemas.google.com/" r:id="rId1" roundtripDataSignature="AMtx7mhHXFVXBOT+0+DNSXp+J3n6BdHweg=="/>
    </ext>
  </extLst>
</comments>
</file>

<file path=xl/sharedStrings.xml><?xml version="1.0" encoding="utf-8"?>
<sst xmlns="http://schemas.openxmlformats.org/spreadsheetml/2006/main" count="317" uniqueCount="107">
  <si>
    <t>MATRIZ PARA COMPROBACIÓN REQUERIMIENTOS DE CALIDAD DE PROYECTO ACADEMICO</t>
  </si>
  <si>
    <t>SISTEMA:</t>
  </si>
  <si>
    <t>SISTEMA DE INSCRIPCIÓN DE CURSOS (SIC)</t>
  </si>
  <si>
    <t>Requerimientos  Funcionales</t>
  </si>
  <si>
    <t>Nº</t>
  </si>
  <si>
    <t>CRITERIOS DE CALIDAD (Documento/Requerimientos)</t>
  </si>
  <si>
    <t>Status
Nivel de Acuerdo</t>
  </si>
  <si>
    <t>CU-01 Acceder al sistema</t>
  </si>
  <si>
    <t>CU - 02 Gestionar perfiles</t>
  </si>
  <si>
    <t>CU - 03 Gestionar Docentes</t>
  </si>
  <si>
    <t>Agreed</t>
  </si>
  <si>
    <t>OK</t>
  </si>
  <si>
    <t>1. Minutas de entrevistas al departamento de TICS y jefe académico.                                                                   2. Audios de entrevistas al departamento de TICS y jefe académico.</t>
  </si>
  <si>
    <t>1. Audio de la entrevista                                                                                                                    2. Minuta de la entrevista
3. Aceptación del prototipo no funcional mediante videoconferencia</t>
  </si>
  <si>
    <t>1. Entrevista presencial.                                                  2. Audio entrevista.                                                     3. Minuta de la entrevista.</t>
  </si>
  <si>
    <t>Ranked</t>
  </si>
  <si>
    <t xml:space="preserve">1. Los requisitos asociados tienen prioridad definida mediante la técnica MoSCoW.                       2. Clasificación "Must have" para Iniciar sesión (RF-04) y Cambiar contraseña (RF-05).                                              3.Clasificación "Should have" para Recuperar contraseña (RF-27) </t>
  </si>
  <si>
    <t xml:space="preserve">1.En la descripción del caso de uso se establece la prioridad Must have según la matriz MoSCoW. </t>
  </si>
  <si>
    <t>1. Los requisitos asociados al CU-03 tienen su prioridad definida como Must have mediante MoSCoW.</t>
  </si>
  <si>
    <t>Unambiguos</t>
  </si>
  <si>
    <t xml:space="preserve"> 1. La descripción del caso de uso utiliza lenguaje claro.                                                       2. Se especifican actores, flujo, excepciones y criterios de aceptación.                                             </t>
  </si>
  <si>
    <t xml:space="preserve">1.  Redacción en lenguaje claro.                                                                               2. El equipo interpretan de igual manera el caso de uso </t>
  </si>
  <si>
    <t>1.  La descripción del CU-03 utiliza lenguaje claro.                                                                              2. Se especifica el actor y las funciones que puede realizar.</t>
  </si>
  <si>
    <t>Valid and up-to date</t>
  </si>
  <si>
    <t>1. Toda nueva información ha sido incorporada, se han incorporado los últimos cambios pedidos luego del feedback realizado por el cliente</t>
  </si>
  <si>
    <t>1. Se han incorporado los últimos cambios pedidos luego del feedback realizado por el cliente</t>
  </si>
  <si>
    <t>1. Se han incorporado los últimos cambios cambios tras el feedback realizado por el cliente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</si>
  <si>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</si>
  <si>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</si>
  <si>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</si>
  <si>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>1. Documentación basada en modelos: Diagrama de Casos de Uso
2. Usa términos definidos previamente, considerando acrónimos y abreviaturas.                                            3. Ausencia de contradicciones entre las condiciones del flujo principal y los criterios de aceptación.</t>
  </si>
  <si>
    <t xml:space="preserve">1. Documentación basada en modelos: Diagrama de Casos de Uso
2. Usa términos definidos previamente.                                                    3. Palabras repetitivas.                                              </t>
  </si>
  <si>
    <t xml:space="preserve">1. Documentación basada en modelos: Diagrama de Casos de Uso
2. Usa términos definidos previamente considerarndo acrónimos y abreviaturas.                                                                                               </t>
  </si>
  <si>
    <t>Verifiable</t>
  </si>
  <si>
    <t>NOK</t>
  </si>
  <si>
    <t>1. Criterios de aceptación cuantificables y probables para cada requisito funcional.                                                           2.  Falta Casos de Prueba</t>
  </si>
  <si>
    <t>1. Requisito Medible                                                           2.  Falta Casos de Prueba</t>
  </si>
  <si>
    <t>Realizable</t>
  </si>
  <si>
    <t>FECHA:</t>
  </si>
  <si>
    <t>1. Funcionalidad tomada en cuenta dentro de la estimación del costo del proyecto (120.42$)
2. No se ha desarrollado</t>
  </si>
  <si>
    <t xml:space="preserve">Traceable </t>
  </si>
  <si>
    <t>AUTOR:</t>
  </si>
  <si>
    <t>Daniel Benalcázar</t>
  </si>
  <si>
    <t>Andrés Cárdenas</t>
  </si>
  <si>
    <t>1. Existe relación entre CU-01 y los requisitos funcionales de acceso, recuperación y cambio de contraseña.                                     2. Los requisitos cuentan con códigos y criterios de aceptación.</t>
  </si>
  <si>
    <t>REQUERIMIENTOS EVALUADOS :</t>
  </si>
  <si>
    <t xml:space="preserve">CU003 Gestionar Docentes </t>
  </si>
  <si>
    <t>1. Es claro el origen del requisito y sus relaciones con otros requisitos (Se tiene los criterios de aceptacion para desarrollar la matriz de trazabilidad cliente/casos de uso y casos de uso/casos de uso) 
2. Cuenta con un identificador único</t>
  </si>
  <si>
    <t>1. CU-03 tiene relación con los requisitos funcionales de registrar, consultar, actualizar información y eliminar.                                              2. Los requisitos cuentan con identificadores únicos y criterios de aceptación.</t>
  </si>
  <si>
    <t>CONTENIDO</t>
  </si>
  <si>
    <t>Complete</t>
  </si>
  <si>
    <t>1. Contiene toda la información necesaria (entradas, salidas, flujos,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</si>
  <si>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</si>
  <si>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</si>
  <si>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No.</t>
  </si>
  <si>
    <t>Camila Bohorquez</t>
  </si>
  <si>
    <t>Understandability</t>
  </si>
  <si>
    <t>CU002. Gestionar Perfiles</t>
  </si>
  <si>
    <t>1. Se involucra al cliente
2. La información está organizada de forma estructurada.                                                        3. Se utilizan términos definidos en el SRS.                                           4. No existe un glosario de términos definido</t>
  </si>
  <si>
    <t>1. Se involucra al cliente 
3. Se utilizan términos definidos en el SRS.                                           4. No existe un glosario de términos definido</t>
  </si>
  <si>
    <t>1. Se involucra al cliente 
2.La información está organizada y utiliza terminología relacionada con la gestión académica de docentes.                                                  3. No existe un glosario de términos definido.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</si>
  <si>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</si>
  <si>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</si>
  <si>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</si>
  <si>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</si>
  <si>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</si>
  <si>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</si>
  <si>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</si>
  <si>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</si>
  <si>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</si>
  <si>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</si>
  <si>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</si>
  <si>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</si>
  <si>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</si>
  <si>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</si>
  <si>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</si>
  <si>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</si>
  <si>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</si>
  <si>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</si>
  <si>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</si>
  <si>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</si>
  <si>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</si>
  <si>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</si>
  <si>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</si>
  <si>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x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</si>
  <si>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</si>
  <si>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</si>
  <si>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</si>
  <si>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</si>
  <si>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PREGUNTA</t>
  </si>
  <si>
    <t>RECOMENDACIÓN</t>
  </si>
  <si>
    <t>¿Se ha incorporado los cambios sugeridos por el tutor o el cliente?</t>
  </si>
  <si>
    <t>Se recomienda incorporar al inicio del documento una Tabla de Control de Versiones y sección o requisito del SRS modificado.</t>
  </si>
  <si>
    <t>¿Se mantiene la coherencia con otros requisitos del sistema y utiliza términos o definiciones de forma uniforme a lo largo del documento?</t>
  </si>
  <si>
    <t>El Caso de Uso mantiene coherencia con los requisitos funcionales establecidos, sin embargo, se recomienda integrar un glosario de términos para mantener la misma definición de términos en el documento.</t>
  </si>
  <si>
    <t>¿Se han definido casos de prueba que permitan verificar, de manera objetiva y medible, el cumplimiento del requisito?</t>
  </si>
  <si>
    <t>Se recomienda elaborar una matriz de casos de prueba derivada directamente de los criterios de aceptación y flujos documentados en el SRS.</t>
  </si>
  <si>
    <t>¿Todos los requerimientos  han sido acordados con todos los interesados?</t>
  </si>
  <si>
    <t>Se recomienda formalizar una fase de revisión y validación conjunta con todos los actores identificados, incorporar un acta o sección de aprobación formal y cerrar las reglas de negocio pendientes antes de congelar la línea base del alcance.</t>
  </si>
  <si>
    <t>Se recomienda incorporar al inicio del documento una Tabla de Control de Versiones (número de versión, fecha, autor y descripción del cambio) y adjuntar una Matriz de Atención a Observaciones donde se clasifique cada comentario del tutor/cliente (ID de observación, descripción, estado: Incorporada / Justificada / Rechazada, y sección o requisito del SRS modificado).</t>
  </si>
  <si>
    <t>El CU-03 mantiene coherencia con los requisitos funcionales establecidos, sin embargo, se recomienda integrar un glosario de términos para mantener la misma definición de términos en el documento.</t>
  </si>
  <si>
    <t>Se recomienda elaborar una matriz de casos de prueba derivada directamente de los criterios de aceptación y flujos alternativos documentados en el SR, asegurando la trazabilidad bidireccional entre cada requisito (RF/RNF) y sus respectivos casos de prueba unitarios, de integración y de sistema.</t>
  </si>
  <si>
    <t>Se recomienda verificar que todos los cambios sugeridos por el tutor o cliente hayan sido incorporados en el CU-02, especialmente los relacionados con la gestión de perfiles y usuarios.</t>
  </si>
  <si>
    <t>El CU-02 mantiene relación con los demás requisitos y utiliza los términos de manera uniforme. Se recomienda incorporar un glosario de términos que mantenga las mismas definiciones a lo largo del documento.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</si>
  <si>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</si>
  <si>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</si>
  <si>
    <t>Se recomienda realizar sesiones de validación y consenso con todos los interesados clave antes de cerrar la especificación de requerimientos, esto asegurará que los requerimientos reflejen las necesidades puntuales.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</si>
</sst>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color theme="1"/>
      <name val="Calibri"/>
    </font>
    <font>
      <b/>
      <sz val="16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ill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left" readingOrder="0" shrinkToFit="0" vertical="center" wrapText="1"/>
    </xf>
    <xf borderId="0" fillId="0" fontId="12" numFmtId="0" xfId="0" applyFont="1"/>
    <xf borderId="1" fillId="3" fontId="13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readingOrder="0" shrinkToFit="0" vertical="center" wrapText="1"/>
    </xf>
    <xf borderId="7" fillId="3" fontId="11" numFmtId="0" xfId="0" applyAlignment="1" applyBorder="1" applyFill="1" applyFont="1">
      <alignment horizontal="left" shrinkToFit="0" vertical="center" wrapText="1"/>
    </xf>
    <xf borderId="7" fillId="4" fontId="10" numFmtId="0" xfId="0" applyAlignment="1" applyBorder="1" applyFill="1" applyFont="1">
      <alignment horizontal="center" readingOrder="0" shrinkToFit="0" vertical="center" wrapText="1"/>
    </xf>
    <xf borderId="7" fillId="3" fontId="11" numFmtId="0" xfId="0" applyAlignment="1" applyBorder="1" applyFill="1" applyFont="1">
      <alignment horizontal="left" readingOrder="0" shrinkToFit="0" vertical="center" wrapText="1"/>
    </xf>
    <xf borderId="0" fillId="0" fontId="8" numFmtId="0" xfId="0" applyAlignment="1" applyFont="1">
      <alignment vertical="top"/>
    </xf>
    <xf borderId="0" fillId="0" fontId="14" numFmtId="0" xfId="0" applyAlignment="1" applyFont="1">
      <alignment horizontal="left" vertical="top"/>
    </xf>
    <xf borderId="0" fillId="0" fontId="15" numFmtId="0" xfId="0" applyAlignment="1" applyFont="1">
      <alignment horizontal="left" readingOrder="0" shrinkToFit="0" vertical="top" wrapText="1"/>
    </xf>
    <xf borderId="7" fillId="5" fontId="10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left"/>
    </xf>
    <xf borderId="0" fillId="0" fontId="15" numFmtId="15" xfId="0" applyAlignment="1" applyFont="1" applyNumberForma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13" fillId="3" fontId="11" numFmtId="0" xfId="0" applyAlignment="1" applyBorder="1" applyFill="1" applyFont="1">
      <alignment horizontal="left" readingOrder="0" shrinkToFit="0" vertical="center" wrapText="1"/>
    </xf>
    <xf borderId="0" fillId="0" fontId="16" numFmtId="0" xfId="0" applyAlignment="1" applyFont="1">
      <alignment horizontal="center" vertical="center"/>
    </xf>
    <xf borderId="7" fillId="5" fontId="10" numFmtId="0" xfId="0" applyAlignment="1" applyBorder="1" applyFill="1" applyFont="1">
      <alignment horizontal="center" readingOrder="0" shrinkToFit="0" vertical="center" wrapText="1"/>
    </xf>
    <xf borderId="12" fillId="6" fontId="15" numFmtId="0" xfId="0" applyAlignment="1" applyBorder="1" applyFill="1" applyFont="1">
      <alignment horizontal="center" readingOrder="0" shrinkToFit="0" vertical="center" wrapText="0"/>
    </xf>
    <xf borderId="14" fillId="6" fontId="15" numFmtId="0" xfId="0" applyAlignment="1" applyBorder="1" applyFill="1" applyFont="1">
      <alignment horizontal="center" readingOrder="0" shrinkToFit="0" vertical="center" wrapText="0"/>
    </xf>
    <xf borderId="15" fillId="6" fontId="15" numFmtId="0" xfId="0" applyAlignment="1" applyBorder="1" applyFill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left" vertical="center"/>
    </xf>
    <xf borderId="0" fillId="0" fontId="8" numFmtId="0" xfId="0" applyFont="1"/>
    <xf borderId="0" fillId="0" fontId="8" numFmtId="9" xfId="0" applyFont="1" applyNumberFormat="1"/>
    <xf borderId="16" fillId="0" fontId="16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4" numFmtId="0" xfId="0" applyAlignment="1" applyBorder="1" applyFont="1">
      <alignment horizontal="center" readingOrder="0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8" fillId="0" fontId="10" numFmtId="0" xfId="0" applyAlignment="1" applyBorder="1" applyFont="1">
      <alignment horizontal="center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/>
    </xf>
    <xf borderId="0" fillId="0" fontId="8" numFmtId="0" xfId="0" applyAlignment="1" applyFont="1">
      <alignment readingOrder="0"/>
    </xf>
    <xf borderId="1" fillId="0" fontId="18" numFmtId="0" xfId="0" applyAlignment="1" applyBorder="1" applyFont="1">
      <alignment horizontal="center" readingOrder="0" shrinkToFit="0" vertical="center" wrapText="0"/>
    </xf>
    <xf borderId="7" fillId="7" fontId="19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horizontal="left" shrinkToFit="0" vertical="top" wrapText="1"/>
    </xf>
    <xf borderId="7" fillId="0" fontId="8" numFmtId="0" xfId="0" applyAlignment="1" applyBorder="1" applyFont="1">
      <alignment horizontal="left" readingOrder="0" shrinkToFit="0" vertical="top" wrapText="1"/>
    </xf>
    <xf borderId="7" fillId="0" fontId="8" numFmtId="0" xfId="0" applyAlignment="1" applyBorder="1" applyFont="1">
      <alignment horizontal="left" readingOrder="0" shrinkToFit="0" wrapText="1"/>
    </xf>
    <xf borderId="7" fillId="0" fontId="12" numFmtId="0" xfId="0" applyAlignment="1" applyBorder="1" applyFont="1">
      <alignment horizontal="left" shrinkToFit="0" vertical="top" wrapText="1"/>
    </xf>
    <xf borderId="7" fillId="0" fontId="12" numFmtId="0" xfId="0" applyAlignment="1" applyBorder="1" applyFont="1">
      <alignment horizontal="left" readingOrder="0" shrinkToFit="0" wrapText="1"/>
    </xf>
    <xf borderId="7" fillId="0" fontId="8" numFmtId="0" xfId="0" applyAlignment="1" applyBorder="1" applyFont="1">
      <alignment horizontal="center" shrinkToFit="0" vertical="top" wrapText="1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horizontal="center" shrinkToFit="0" vertical="top" wrapText="1"/>
    </xf>
    <xf borderId="7" fillId="0" fontId="12" numFmtId="0" xfId="0" applyAlignment="1" applyBorder="1" applyFont="1">
      <alignment readingOrder="0" shrinkToFit="0" wrapText="1"/>
    </xf>
    <xf borderId="7" fillId="0" fontId="12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wrapText="1"/>
    </xf>
    <xf borderId="7" fillId="0" fontId="12" numFmtId="0" xfId="0" applyAlignment="1" applyBorder="1" applyFont="1">
      <alignment shrinkToFit="0" wrapText="1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4" pivot="0" name="MODELO DE LISTA DE COMPROB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ÓN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LISTA DE COMPROBACION -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O DE LISTA DE COMPROBACION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ÓN -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ON - -style 2">
      <tableStyleElement dxfId="5" type="headerRow"/>
      <tableStyleElement dxfId="6" type="firstRowStripe"/>
      <tableStyleElement dxfId="3" type="secondRowStripe"/>
      <tableStyleElement dxfId="7" size="0" type="wholeTable"/>
    </tableStyle>
    <tableStyle count="4" pivot="0" name="MODELO LISTA DE COMPROBACIÓN - 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DE LISTA DE COMPROBACION-style 3">
      <tableStyleElement dxfId="8" type="headerRow"/>
      <tableStyleElement dxfId="9" type="firstRowStripe"/>
      <tableStyleElement dxfId="3" type="secondRowStripe"/>
      <tableStyleElement dxfId="10" size="0" type="wholeTable"/>
    </tableStyle>
    <tableStyle count="4" pivot="0" name="MODELO LISTA DE COMPROBACION - -style 3">
      <tableStyleElement dxfId="8" type="headerRow"/>
      <tableStyleElement dxfId="9" type="firstRowStripe"/>
      <tableStyleElement dxfId="3" type="secondRowStripe"/>
      <tableStyleElement dxfId="10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COMPROBACIÓN - '!$B$41:$B$43</c:f>
            </c:strRef>
          </c:cat>
          <c:val>
            <c:numRef>
              <c:f>'MODELO LISTA DE COMPROBACIÓN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DE LISTA DE COMPROBACION'!$B$41:$B$43</c:f>
            </c:strRef>
          </c:cat>
          <c:val>
            <c:numRef>
              <c:f>'MODELO DE LISTA DE COMPROBACION'!$C$41:$C$43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91381751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908346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03577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D16" displayName="Table_1" name="Table_1" id="2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6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9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1">
  <tableColumns count="4">
    <tableColumn name="No." id="1"/>
    <tableColumn name="Pregunta" id="2"/>
    <tableColumn name="SI" id="3"/>
    <tableColumn name="NO " id="4"/>
  </tableColumns>
  <tableStyleInfo name="MODELO LISTA DE COMPROBACIÓN - 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MODELO LISTA DE COMPROBACIÓN - 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8">
  <tableColumns count="4">
    <tableColumn name="No." id="1"/>
    <tableColumn name="Pregunta" id="2"/>
    <tableColumn name="SI" id="3"/>
    <tableColumn name="NO " id="4"/>
  </tableColumns>
  <tableStyleInfo name="MODELO LISTA DE COMPROBACIÓN - 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3">
  <tableColumns count="4">
    <tableColumn name="No." id="1"/>
    <tableColumn name="Pregunta" id="2"/>
    <tableColumn name="SI" id="3"/>
    <tableColumn name="NO " id="4"/>
  </tableColumns>
  <tableStyleInfo name="MODELO DE LISTA DE COMPROBACION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4">
  <tableColumns count="4">
    <tableColumn name="No." id="1"/>
    <tableColumn name="Pregunta" id="2"/>
    <tableColumn name="SI" id="3"/>
    <tableColumn name="NO " id="4"/>
  </tableColumns>
  <tableStyleInfo name="MODELO DE LISTA DE COMPROBACION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7">
  <tableColumns count="4">
    <tableColumn name="No." id="1"/>
    <tableColumn name="Pregunta" id="2"/>
    <tableColumn name="SI" id="3"/>
    <tableColumn name="NO " id="4"/>
  </tableColumns>
  <tableStyleInfo name="MODELO DE LISTA DE COMPROBACIO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1" t="s">
        <v>6</v>
      </c>
      <c r="H7" s="13">
        <v>100.0</v>
      </c>
      <c r="I7" s="12" t="s">
        <v>8</v>
      </c>
      <c r="J7" s="11" t="s">
        <v>6</v>
      </c>
      <c r="K7" s="12" t="s">
        <v>9</v>
      </c>
    </row>
    <row r="8" ht="60.0" customHeight="1">
      <c r="B8" s="14"/>
      <c r="C8" s="15"/>
      <c r="D8" s="16"/>
      <c r="E8" s="14"/>
      <c r="F8" s="14"/>
      <c r="G8" s="14"/>
      <c r="H8" s="13">
        <v>0.0</v>
      </c>
      <c r="I8" s="14"/>
      <c r="J8" s="14"/>
      <c r="K8" s="14"/>
    </row>
    <row r="9" ht="82.5" customHeight="1">
      <c r="B9" s="17">
        <v>1.0</v>
      </c>
      <c r="C9" s="18" t="s">
        <v>10</v>
      </c>
      <c r="D9" s="7"/>
      <c r="E9" s="19" t="s">
        <v>11</v>
      </c>
      <c r="F9" s="20" t="s">
        <v>12</v>
      </c>
      <c r="G9" s="19" t="s">
        <v>11</v>
      </c>
      <c r="H9" s="21">
        <v>1.0</v>
      </c>
      <c r="I9" s="20" t="s">
        <v>13</v>
      </c>
      <c r="J9" s="19" t="s">
        <v>11</v>
      </c>
      <c r="K9" s="20" t="s">
        <v>14</v>
      </c>
    </row>
    <row r="10" ht="141.0" customHeight="1">
      <c r="B10" s="17">
        <v>2.0</v>
      </c>
      <c r="C10" s="22" t="s">
        <v>15</v>
      </c>
      <c r="D10" s="7"/>
      <c r="E10" s="19" t="s">
        <v>11</v>
      </c>
      <c r="F10" s="23" t="s">
        <v>16</v>
      </c>
      <c r="G10" s="19" t="s">
        <v>11</v>
      </c>
      <c r="I10" s="23" t="s">
        <v>17</v>
      </c>
      <c r="J10" s="19" t="s">
        <v>11</v>
      </c>
      <c r="K10" s="23" t="s">
        <v>18</v>
      </c>
    </row>
    <row r="11" ht="88.5" customHeight="1">
      <c r="B11" s="17">
        <v>3.0</v>
      </c>
      <c r="C11" s="18" t="s">
        <v>19</v>
      </c>
      <c r="D11" s="7"/>
      <c r="E11" s="19" t="s">
        <v>11</v>
      </c>
      <c r="F11" s="23" t="s">
        <v>20</v>
      </c>
      <c r="G11" s="19" t="s">
        <v>11</v>
      </c>
      <c r="I11" s="23" t="s">
        <v>21</v>
      </c>
      <c r="J11" s="19" t="s">
        <v>11</v>
      </c>
      <c r="K11" s="23" t="s">
        <v>22</v>
      </c>
    </row>
    <row r="12" ht="93.0" customHeight="1">
      <c r="B12" s="17">
        <v>4.0</v>
      </c>
      <c r="C12" s="18" t="s">
        <v>23</v>
      </c>
      <c r="D12" s="7"/>
      <c r="E12" s="19" t="s">
        <v>11</v>
      </c>
      <c r="F12" s="24" t="s">
        <v>24</v>
      </c>
      <c r="G12" s="25" t="s">
        <v>11</v>
      </c>
      <c r="I12" s="26" t="s">
        <v>25</v>
      </c>
      <c r="J12" s="25" t="s">
        <v>11</v>
      </c>
      <c r="K12" s="26" t="s">
        <v>26</v>
      </c>
    </row>
    <row r="13" ht="87.75" customHeight="1">
      <c r="B13" s="17">
        <v>5.0</v>
      </c>
      <c r="C13" s="18" t="s">
        <v>27</v>
      </c>
      <c r="D13" s="7"/>
      <c r="E13" s="19" t="s">
        <v>11</v>
      </c>
      <c r="F13" s="24" t="s">
        <v>28</v>
      </c>
      <c r="G13" s="19" t="s">
        <v>11</v>
      </c>
      <c r="I13" s="24" t="s">
        <v>28</v>
      </c>
      <c r="J13" s="19" t="s">
        <v>11</v>
      </c>
      <c r="K13" s="24" t="s">
        <v>28</v>
      </c>
    </row>
    <row r="14" ht="119.25" customHeight="1">
      <c r="B14" s="17">
        <v>6.0</v>
      </c>
      <c r="C14" s="18" t="s">
        <v>29</v>
      </c>
      <c r="D14" s="7"/>
      <c r="E14" s="19" t="s">
        <v>11</v>
      </c>
      <c r="F14" s="26" t="s">
        <v>30</v>
      </c>
      <c r="G14" s="25" t="s">
        <v>11</v>
      </c>
      <c r="I14" s="24" t="s">
        <v>31</v>
      </c>
      <c r="J14" s="25" t="s">
        <v>11</v>
      </c>
      <c r="K14" s="26" t="s">
        <v>32</v>
      </c>
    </row>
    <row r="15" ht="93.0" customHeight="1">
      <c r="B15" s="17">
        <v>7.0</v>
      </c>
      <c r="C15" s="18" t="s">
        <v>33</v>
      </c>
      <c r="D15" s="7"/>
      <c r="E15" s="30" t="s">
        <v>34</v>
      </c>
      <c r="F15" s="26" t="s">
        <v>35</v>
      </c>
      <c r="G15" s="30" t="s">
        <v>34</v>
      </c>
      <c r="I15" s="24" t="s">
        <v>36</v>
      </c>
      <c r="J15" s="30" t="s">
        <v>34</v>
      </c>
      <c r="K15" s="24" t="s">
        <v>36</v>
      </c>
    </row>
    <row r="16" ht="78.75" customHeight="1">
      <c r="B16" s="17">
        <v>8.0</v>
      </c>
      <c r="C16" s="18" t="s">
        <v>37</v>
      </c>
      <c r="D16" s="7"/>
      <c r="E16" s="30" t="s">
        <v>34</v>
      </c>
      <c r="F16" s="26" t="s">
        <v>39</v>
      </c>
      <c r="G16" s="30" t="s">
        <v>34</v>
      </c>
      <c r="I16" s="26" t="s">
        <v>39</v>
      </c>
      <c r="J16" s="30" t="s">
        <v>34</v>
      </c>
      <c r="K16" s="26" t="s">
        <v>39</v>
      </c>
    </row>
    <row r="17" ht="106.5" customHeight="1">
      <c r="B17" s="17">
        <v>9.0</v>
      </c>
      <c r="C17" s="22" t="s">
        <v>40</v>
      </c>
      <c r="D17" s="7"/>
      <c r="E17" s="19" t="s">
        <v>11</v>
      </c>
      <c r="F17" s="34" t="s">
        <v>44</v>
      </c>
      <c r="G17" s="19" t="s">
        <v>11</v>
      </c>
      <c r="I17" s="34" t="s">
        <v>47</v>
      </c>
      <c r="J17" s="19" t="s">
        <v>11</v>
      </c>
      <c r="K17" s="34" t="s">
        <v>48</v>
      </c>
    </row>
    <row r="18" ht="112.5" customHeight="1">
      <c r="B18" s="17">
        <v>10.0</v>
      </c>
      <c r="C18" s="18" t="s">
        <v>50</v>
      </c>
      <c r="D18" s="7"/>
      <c r="E18" s="19" t="s">
        <v>11</v>
      </c>
      <c r="F18" s="26" t="s">
        <v>51</v>
      </c>
      <c r="G18" s="19" t="s">
        <v>11</v>
      </c>
      <c r="I18" s="24" t="s">
        <v>52</v>
      </c>
      <c r="J18" s="19" t="s">
        <v>11</v>
      </c>
      <c r="K18" s="24" t="s">
        <v>53</v>
      </c>
    </row>
    <row r="19" ht="88.5" customHeight="1">
      <c r="B19" s="17">
        <v>11.0</v>
      </c>
      <c r="C19" s="18" t="s">
        <v>56</v>
      </c>
      <c r="D19" s="7"/>
      <c r="E19" s="36" t="s">
        <v>34</v>
      </c>
      <c r="F19" s="26" t="s">
        <v>58</v>
      </c>
      <c r="G19" s="36" t="s">
        <v>34</v>
      </c>
      <c r="I19" s="26" t="s">
        <v>59</v>
      </c>
      <c r="J19" s="36" t="s">
        <v>34</v>
      </c>
      <c r="K19" s="26" t="s">
        <v>60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4" width="24.29"/>
    <col customWidth="1" min="5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38</v>
      </c>
      <c r="C2" s="32">
        <v>46305.0</v>
      </c>
    </row>
    <row r="3" ht="14.25" customHeight="1">
      <c r="B3" s="31" t="s">
        <v>41</v>
      </c>
      <c r="C3" s="33" t="s">
        <v>43</v>
      </c>
    </row>
    <row r="4" ht="14.25" customHeight="1">
      <c r="B4" s="31" t="s">
        <v>45</v>
      </c>
      <c r="C4" s="33" t="s">
        <v>7</v>
      </c>
    </row>
    <row r="5" ht="14.25" customHeight="1"/>
    <row r="6" ht="80.25" customHeight="1">
      <c r="A6" s="35" t="s">
        <v>49</v>
      </c>
    </row>
    <row r="7" ht="20.25" customHeight="1">
      <c r="A7" s="37" t="s">
        <v>54</v>
      </c>
      <c r="B7" s="38" t="s">
        <v>61</v>
      </c>
      <c r="C7" s="38" t="s">
        <v>62</v>
      </c>
      <c r="D7" s="39" t="s">
        <v>63</v>
      </c>
    </row>
    <row r="8" ht="28.5" customHeight="1">
      <c r="A8" s="40">
        <v>1.0</v>
      </c>
      <c r="B8" s="41" t="s">
        <v>64</v>
      </c>
      <c r="C8" s="42" t="s">
        <v>65</v>
      </c>
      <c r="D8" s="43"/>
    </row>
    <row r="9" ht="33.75" customHeight="1">
      <c r="A9" s="40">
        <v>2.0</v>
      </c>
      <c r="B9" s="41" t="s">
        <v>66</v>
      </c>
      <c r="C9" s="42"/>
      <c r="D9" s="44" t="s">
        <v>65</v>
      </c>
    </row>
    <row r="10" ht="74.25" customHeight="1">
      <c r="A10" s="40">
        <v>3.0</v>
      </c>
      <c r="B10" s="41" t="s">
        <v>67</v>
      </c>
      <c r="C10" s="42" t="s">
        <v>65</v>
      </c>
      <c r="D10" s="43"/>
    </row>
    <row r="11" ht="52.5" customHeight="1">
      <c r="A11" s="40">
        <v>4.0</v>
      </c>
      <c r="B11" s="41" t="s">
        <v>68</v>
      </c>
      <c r="C11" s="42" t="s">
        <v>65</v>
      </c>
      <c r="D11" s="43"/>
    </row>
    <row r="12" ht="40.5" customHeight="1">
      <c r="A12" s="40">
        <v>5.0</v>
      </c>
      <c r="B12" s="41" t="s">
        <v>69</v>
      </c>
      <c r="C12" s="42" t="s">
        <v>65</v>
      </c>
      <c r="D12" s="43"/>
    </row>
    <row r="13" ht="41.25" customHeight="1">
      <c r="A13" s="40">
        <v>6.0</v>
      </c>
      <c r="B13" s="41" t="s">
        <v>70</v>
      </c>
      <c r="C13" s="42" t="s">
        <v>65</v>
      </c>
      <c r="D13" s="43"/>
    </row>
    <row r="14" ht="39.0" customHeight="1">
      <c r="A14" s="40">
        <v>7.0</v>
      </c>
      <c r="B14" s="41" t="s">
        <v>71</v>
      </c>
      <c r="C14" s="42" t="s">
        <v>65</v>
      </c>
      <c r="D14" s="43"/>
    </row>
    <row r="15" ht="45.75" customHeight="1">
      <c r="A15" s="40">
        <v>8.0</v>
      </c>
      <c r="B15" s="41" t="s">
        <v>72</v>
      </c>
      <c r="C15" s="42" t="s">
        <v>65</v>
      </c>
      <c r="D15" s="43"/>
    </row>
    <row r="16" ht="77.25" customHeight="1">
      <c r="A16" s="45">
        <v>9.0</v>
      </c>
      <c r="B16" s="46" t="s">
        <v>73</v>
      </c>
      <c r="C16" s="47"/>
      <c r="D16" s="47" t="s">
        <v>65</v>
      </c>
    </row>
    <row r="17" ht="14.25" customHeight="1">
      <c r="A17" s="48" t="s">
        <v>74</v>
      </c>
      <c r="C17" s="49">
        <f>COUNTA('MODELO LISTA DE COMPROBACION - '!$C$8:$C$16)</f>
        <v>7</v>
      </c>
      <c r="D17" s="49">
        <f>COUNTA('MODELO LISTA DE COMPROBACION - '!$D$8:$D$16)</f>
        <v>2</v>
      </c>
    </row>
    <row r="18" ht="14.25" customHeight="1">
      <c r="A18" s="48" t="s">
        <v>75</v>
      </c>
      <c r="C18" s="50">
        <f t="shared" ref="C18:D18" si="1">C17/9</f>
        <v>0.7777777778</v>
      </c>
      <c r="D18" s="50">
        <f t="shared" si="1"/>
        <v>0.2222222222</v>
      </c>
    </row>
    <row r="19" ht="14.25" customHeight="1">
      <c r="A19" s="48"/>
      <c r="B19" s="48"/>
      <c r="C19" s="50"/>
      <c r="D19" s="49"/>
    </row>
    <row r="20" ht="51.0" customHeight="1">
      <c r="A20" s="51" t="s">
        <v>76</v>
      </c>
      <c r="B20" s="52"/>
      <c r="C20" s="52"/>
      <c r="D20" s="52"/>
    </row>
    <row r="21" ht="35.25" customHeight="1">
      <c r="A21" s="53" t="s">
        <v>54</v>
      </c>
      <c r="B21" s="54" t="s">
        <v>61</v>
      </c>
      <c r="C21" s="55" t="s">
        <v>62</v>
      </c>
      <c r="D21" s="56" t="s">
        <v>63</v>
      </c>
    </row>
    <row r="22" ht="44.25" customHeight="1">
      <c r="A22" s="40">
        <v>1.0</v>
      </c>
      <c r="B22" s="41" t="s">
        <v>77</v>
      </c>
      <c r="C22" s="47" t="s">
        <v>65</v>
      </c>
      <c r="D22" s="43"/>
    </row>
    <row r="23" ht="48.75" customHeight="1">
      <c r="A23" s="40">
        <v>2.0</v>
      </c>
      <c r="B23" s="41" t="s">
        <v>78</v>
      </c>
      <c r="C23" s="47" t="s">
        <v>65</v>
      </c>
      <c r="D23" s="43"/>
    </row>
    <row r="24" ht="51.0" customHeight="1">
      <c r="A24" s="40">
        <v>3.0</v>
      </c>
      <c r="B24" s="41" t="s">
        <v>79</v>
      </c>
      <c r="C24" s="47"/>
      <c r="D24" s="44" t="s">
        <v>65</v>
      </c>
    </row>
    <row r="25" ht="55.5" customHeight="1">
      <c r="A25" s="40">
        <v>4.0</v>
      </c>
      <c r="B25" s="41" t="s">
        <v>80</v>
      </c>
      <c r="C25" s="47" t="s">
        <v>65</v>
      </c>
      <c r="D25" s="43"/>
    </row>
    <row r="26" ht="63.0" customHeight="1">
      <c r="A26" s="45">
        <v>5.0</v>
      </c>
      <c r="B26" s="46" t="s">
        <v>81</v>
      </c>
      <c r="C26" s="47" t="s">
        <v>65</v>
      </c>
      <c r="D26" s="57"/>
    </row>
    <row r="27" ht="14.25" customHeight="1">
      <c r="A27" s="48" t="s">
        <v>74</v>
      </c>
      <c r="C27" s="49">
        <f>COUNTA('MODELO LISTA DE COMPROBACION - '!$C$22:$C$26)</f>
        <v>4</v>
      </c>
      <c r="D27" s="49">
        <f>COUNTA('MODELO LISTA DE COMPROBACION - '!$D$22:$D$26)</f>
        <v>1</v>
      </c>
    </row>
    <row r="28" ht="14.25" customHeight="1">
      <c r="A28" s="48" t="s">
        <v>75</v>
      </c>
      <c r="C28" s="50">
        <f t="shared" ref="C28:D28" si="2">C27/5</f>
        <v>0.8</v>
      </c>
      <c r="D28" s="50">
        <f t="shared" si="2"/>
        <v>0.2</v>
      </c>
    </row>
    <row r="29" ht="14.25" customHeight="1">
      <c r="A29" s="48"/>
      <c r="B29" s="48"/>
      <c r="C29" s="50"/>
      <c r="D29" s="49"/>
    </row>
    <row r="30" ht="45.75" customHeight="1">
      <c r="A30" s="35" t="s">
        <v>82</v>
      </c>
    </row>
    <row r="31" ht="36.75" customHeight="1">
      <c r="A31" s="53" t="s">
        <v>54</v>
      </c>
      <c r="B31" s="54" t="s">
        <v>61</v>
      </c>
      <c r="C31" s="55" t="s">
        <v>62</v>
      </c>
      <c r="D31" s="56" t="s">
        <v>63</v>
      </c>
    </row>
    <row r="32" ht="41.25" customHeight="1">
      <c r="A32" s="40">
        <v>1.0</v>
      </c>
      <c r="B32" s="41" t="s">
        <v>83</v>
      </c>
      <c r="C32" s="59" t="s">
        <v>84</v>
      </c>
      <c r="D32" s="59"/>
    </row>
    <row r="33" ht="54.75" customHeight="1">
      <c r="A33" s="40">
        <v>2.0</v>
      </c>
      <c r="B33" s="41" t="s">
        <v>85</v>
      </c>
      <c r="C33" s="59" t="s">
        <v>84</v>
      </c>
      <c r="D33" s="59"/>
    </row>
    <row r="34" ht="45.0" customHeight="1">
      <c r="A34" s="45">
        <v>3.0</v>
      </c>
      <c r="B34" s="46" t="s">
        <v>86</v>
      </c>
      <c r="C34" s="47" t="s">
        <v>65</v>
      </c>
      <c r="D34" s="47"/>
    </row>
    <row r="35" ht="14.25" customHeight="1">
      <c r="A35" s="48" t="s">
        <v>74</v>
      </c>
      <c r="C35" s="21">
        <f>COUNTA('MODELO LISTA DE COMPROBACION - '!$C$32:$C$34)</f>
        <v>3</v>
      </c>
      <c r="D35" s="21">
        <f>COUNTA('MODELO LISTA DE COMPROBACION - '!$D$32:$D$34)</f>
        <v>0</v>
      </c>
    </row>
    <row r="36" ht="14.25" customHeight="1">
      <c r="A36" s="48" t="s">
        <v>75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 ht="14.25" customHeight="1">
      <c r="A40" s="60" t="s">
        <v>87</v>
      </c>
    </row>
    <row r="41" ht="30.0" customHeight="1">
      <c r="B41" s="27" t="s">
        <v>88</v>
      </c>
      <c r="C41" s="50">
        <f>C18</f>
        <v>0.7777777778</v>
      </c>
    </row>
    <row r="42" ht="30.0" customHeight="1">
      <c r="B42" s="27" t="s">
        <v>76</v>
      </c>
      <c r="C42" s="50">
        <f>C28</f>
        <v>0.8</v>
      </c>
    </row>
    <row r="43" ht="30.0" customHeight="1">
      <c r="B43" s="27" t="s">
        <v>82</v>
      </c>
      <c r="C43" s="50">
        <f>C36</f>
        <v>1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3.43"/>
    <col customWidth="1" min="3" max="3" width="16.14"/>
    <col customWidth="1" min="4" max="4" width="30.43"/>
    <col customWidth="1" min="5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38</v>
      </c>
      <c r="C2" s="32">
        <v>46296.0</v>
      </c>
    </row>
    <row r="3" ht="14.25" customHeight="1">
      <c r="B3" s="31" t="s">
        <v>41</v>
      </c>
      <c r="C3" s="33" t="s">
        <v>55</v>
      </c>
    </row>
    <row r="4" ht="14.25" customHeight="1">
      <c r="B4" s="31" t="s">
        <v>45</v>
      </c>
      <c r="C4" s="33" t="s">
        <v>57</v>
      </c>
    </row>
    <row r="5" ht="14.25" customHeight="1"/>
    <row r="6" ht="47.25" customHeight="1">
      <c r="A6" s="35" t="s">
        <v>49</v>
      </c>
    </row>
    <row r="7" ht="47.25" customHeight="1">
      <c r="A7" s="37" t="s">
        <v>54</v>
      </c>
      <c r="B7" s="38" t="s">
        <v>61</v>
      </c>
      <c r="C7" s="38" t="s">
        <v>62</v>
      </c>
      <c r="D7" s="39" t="s">
        <v>63</v>
      </c>
    </row>
    <row r="8" ht="14.25" customHeight="1">
      <c r="A8" s="40">
        <v>1.0</v>
      </c>
      <c r="B8" s="41" t="s">
        <v>64</v>
      </c>
      <c r="C8" s="42" t="s">
        <v>65</v>
      </c>
      <c r="D8" s="43"/>
    </row>
    <row r="9" ht="14.25" customHeight="1">
      <c r="A9" s="40">
        <v>2.0</v>
      </c>
      <c r="B9" s="41" t="s">
        <v>66</v>
      </c>
      <c r="C9" s="42" t="s">
        <v>65</v>
      </c>
      <c r="D9" s="43"/>
    </row>
    <row r="10" ht="35.25" customHeight="1">
      <c r="A10" s="40">
        <v>3.0</v>
      </c>
      <c r="B10" s="41" t="s">
        <v>67</v>
      </c>
      <c r="C10" s="42" t="s">
        <v>65</v>
      </c>
      <c r="D10" s="43"/>
    </row>
    <row r="11" ht="14.25" customHeight="1">
      <c r="A11" s="40">
        <v>4.0</v>
      </c>
      <c r="B11" s="41" t="s">
        <v>68</v>
      </c>
      <c r="C11" s="42" t="s">
        <v>65</v>
      </c>
      <c r="D11" s="43"/>
    </row>
    <row r="12" ht="14.25" customHeight="1">
      <c r="A12" s="40">
        <v>5.0</v>
      </c>
      <c r="B12" s="41" t="s">
        <v>69</v>
      </c>
      <c r="C12" s="42" t="s">
        <v>65</v>
      </c>
      <c r="D12" s="43"/>
    </row>
    <row r="13" ht="14.25" customHeight="1">
      <c r="A13" s="40">
        <v>6.0</v>
      </c>
      <c r="B13" s="41" t="s">
        <v>70</v>
      </c>
      <c r="C13" s="42" t="s">
        <v>65</v>
      </c>
      <c r="D13" s="43"/>
    </row>
    <row r="14" ht="14.25" customHeight="1">
      <c r="A14" s="40">
        <v>7.0</v>
      </c>
      <c r="B14" s="41" t="s">
        <v>71</v>
      </c>
      <c r="C14" s="42"/>
      <c r="D14" s="42" t="s">
        <v>65</v>
      </c>
    </row>
    <row r="15" ht="43.5" customHeight="1">
      <c r="A15" s="40">
        <v>8.0</v>
      </c>
      <c r="B15" s="41" t="s">
        <v>72</v>
      </c>
      <c r="C15" s="42" t="s">
        <v>65</v>
      </c>
      <c r="D15" s="43"/>
    </row>
    <row r="16" ht="43.5" customHeight="1">
      <c r="A16" s="45">
        <v>9.0</v>
      </c>
      <c r="B16" s="46" t="s">
        <v>73</v>
      </c>
      <c r="C16" s="47"/>
      <c r="D16" s="47" t="s">
        <v>65</v>
      </c>
    </row>
    <row r="17" ht="14.25" customHeight="1">
      <c r="A17" s="48" t="s">
        <v>74</v>
      </c>
      <c r="C17" s="49">
        <f>COUNTA('MODELO LISTA DE COMPROBACIÓN - '!$C$8:$C$16)</f>
        <v>7</v>
      </c>
      <c r="D17" s="49">
        <f>COUNTA('MODELO LISTA DE COMPROBACIÓN - '!$D$8:$D$16)</f>
        <v>2</v>
      </c>
    </row>
    <row r="18" ht="14.25" customHeight="1">
      <c r="A18" s="48" t="s">
        <v>75</v>
      </c>
      <c r="C18" s="50">
        <f t="shared" ref="C18:D18" si="1">C17/9</f>
        <v>0.7777777778</v>
      </c>
      <c r="D18" s="50">
        <f t="shared" si="1"/>
        <v>0.2222222222</v>
      </c>
    </row>
    <row r="19" ht="14.25" customHeight="1">
      <c r="A19" s="48"/>
      <c r="B19" s="48"/>
      <c r="C19" s="50"/>
      <c r="D19" s="49"/>
    </row>
    <row r="20">
      <c r="A20" s="51" t="s">
        <v>76</v>
      </c>
      <c r="B20" s="52"/>
      <c r="C20" s="52"/>
      <c r="D20" s="52"/>
    </row>
    <row r="21" ht="29.25" customHeight="1">
      <c r="A21" s="53" t="s">
        <v>54</v>
      </c>
      <c r="B21" s="54" t="s">
        <v>61</v>
      </c>
      <c r="C21" s="55" t="s">
        <v>62</v>
      </c>
      <c r="D21" s="56" t="s">
        <v>63</v>
      </c>
    </row>
    <row r="22" ht="14.25" customHeight="1">
      <c r="A22" s="40">
        <v>1.0</v>
      </c>
      <c r="B22" s="41" t="s">
        <v>77</v>
      </c>
      <c r="C22" s="47" t="s">
        <v>65</v>
      </c>
      <c r="D22" s="43"/>
    </row>
    <row r="23" ht="14.25" customHeight="1">
      <c r="A23" s="40">
        <v>2.0</v>
      </c>
      <c r="B23" s="41" t="s">
        <v>78</v>
      </c>
      <c r="C23" s="47" t="s">
        <v>65</v>
      </c>
      <c r="D23" s="43"/>
    </row>
    <row r="24" ht="14.25" customHeight="1">
      <c r="A24" s="40">
        <v>3.0</v>
      </c>
      <c r="B24" s="41" t="s">
        <v>79</v>
      </c>
      <c r="C24" s="47"/>
      <c r="D24" s="47" t="s">
        <v>65</v>
      </c>
    </row>
    <row r="25" ht="14.25" customHeight="1">
      <c r="A25" s="40">
        <v>4.0</v>
      </c>
      <c r="B25" s="41" t="s">
        <v>80</v>
      </c>
      <c r="C25" s="47" t="s">
        <v>65</v>
      </c>
      <c r="D25" s="43"/>
    </row>
    <row r="26" ht="14.25" customHeight="1">
      <c r="A26" s="45">
        <v>5.0</v>
      </c>
      <c r="B26" s="46" t="s">
        <v>81</v>
      </c>
      <c r="C26" s="47" t="s">
        <v>65</v>
      </c>
      <c r="D26" s="57"/>
    </row>
    <row r="27" ht="14.25" customHeight="1">
      <c r="A27" s="48" t="s">
        <v>74</v>
      </c>
      <c r="C27" s="49">
        <f>COUNTA('MODELO LISTA DE COMPROBACIÓN - '!$C$22:$C$26)</f>
        <v>4</v>
      </c>
      <c r="D27" s="49">
        <f>COUNTA('MODELO LISTA DE COMPROBACIÓN - '!$D$22:$D$26)</f>
        <v>1</v>
      </c>
    </row>
    <row r="28" ht="14.25" customHeight="1">
      <c r="A28" s="48" t="s">
        <v>75</v>
      </c>
      <c r="C28" s="50">
        <f t="shared" ref="C28:D28" si="2">C27/5</f>
        <v>0.8</v>
      </c>
      <c r="D28" s="50">
        <f t="shared" si="2"/>
        <v>0.2</v>
      </c>
    </row>
    <row r="29" ht="14.25" customHeight="1">
      <c r="A29" s="48"/>
      <c r="B29" s="48"/>
      <c r="C29" s="50"/>
      <c r="D29" s="49"/>
    </row>
    <row r="30" ht="86.25" customHeight="1">
      <c r="A30" s="35" t="s">
        <v>82</v>
      </c>
    </row>
    <row r="31" ht="27.0" customHeight="1">
      <c r="A31" s="53" t="s">
        <v>54</v>
      </c>
      <c r="B31" s="54" t="s">
        <v>61</v>
      </c>
      <c r="C31" s="55" t="s">
        <v>62</v>
      </c>
      <c r="D31" s="56" t="s">
        <v>63</v>
      </c>
    </row>
    <row r="32" ht="27.0" customHeight="1">
      <c r="A32" s="40">
        <v>1.0</v>
      </c>
      <c r="B32" s="41" t="s">
        <v>83</v>
      </c>
      <c r="C32" s="58" t="s">
        <v>84</v>
      </c>
      <c r="D32" s="47"/>
    </row>
    <row r="33" ht="42.0" customHeight="1">
      <c r="A33" s="40">
        <v>2.0</v>
      </c>
      <c r="B33" s="41" t="s">
        <v>85</v>
      </c>
      <c r="C33" s="59" t="s">
        <v>84</v>
      </c>
      <c r="D33" s="59"/>
    </row>
    <row r="34" ht="41.25" customHeight="1">
      <c r="A34" s="45">
        <v>3.0</v>
      </c>
      <c r="B34" s="46" t="s">
        <v>86</v>
      </c>
      <c r="C34" s="47" t="s">
        <v>65</v>
      </c>
      <c r="D34" s="47"/>
    </row>
    <row r="35" ht="14.25" customHeight="1">
      <c r="A35" s="48" t="s">
        <v>74</v>
      </c>
      <c r="C35" s="21">
        <f>COUNTA('MODELO LISTA DE COMPROBACIÓN - '!$C$32:$C$34)</f>
        <v>3</v>
      </c>
      <c r="D35" s="21">
        <f>COUNTA('MODELO LISTA DE COMPROBACIÓN - '!$D$32:$D$34)</f>
        <v>0</v>
      </c>
    </row>
    <row r="36" ht="14.25" customHeight="1">
      <c r="A36" s="48" t="s">
        <v>75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 ht="14.25" customHeight="1">
      <c r="A40" s="60" t="s">
        <v>87</v>
      </c>
    </row>
    <row r="41" ht="30.0" customHeight="1">
      <c r="B41" s="27" t="s">
        <v>88</v>
      </c>
      <c r="C41" s="49">
        <v>78.0</v>
      </c>
    </row>
    <row r="42" ht="30.0" customHeight="1">
      <c r="B42" s="27" t="s">
        <v>76</v>
      </c>
      <c r="C42" s="61">
        <v>80.0</v>
      </c>
    </row>
    <row r="43" ht="30.0" customHeight="1">
      <c r="B43" s="27" t="s">
        <v>82</v>
      </c>
      <c r="C43" s="61">
        <v>100.0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D24 D32:D34 C33:C34">
    <cfRule type="containsText" dxfId="12" priority="2" operator="containsText" text="X">
      <formula>NOT(ISERROR(SEARCH(("X"),(C8))))</formula>
    </cfRule>
  </conditionalFormatting>
  <conditionalFormatting sqref="C8:D16 C22:C26 D24 D32:D34 C33:C34">
    <cfRule type="containsText" dxfId="13" priority="3" operator="containsText" text="X">
      <formula>NOT(ISERROR(SEARCH(("X"),(C8))))</formula>
    </cfRule>
  </conditionalFormatting>
  <conditionalFormatting sqref="C8:D16 C22:C26 D24 D32:D34 C33:C34">
    <cfRule type="containsText" dxfId="14" priority="4" operator="containsText" text="X">
      <formula>NOT(ISERROR(SEARCH(("X"),(C8))))</formula>
    </cfRule>
  </conditionalFormatting>
  <conditionalFormatting sqref="C8:D16 C22:C26 D24 D32:D34 C33:C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4" width="32.57"/>
    <col customWidth="1" min="5" max="24" width="10.71"/>
  </cols>
  <sheetData>
    <row r="1" ht="51.0" customHeight="1">
      <c r="A1" s="27"/>
      <c r="B1" s="28" t="s">
        <v>1</v>
      </c>
      <c r="C1" s="29" t="s">
        <v>2</v>
      </c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>
      <c r="B2" s="31" t="s">
        <v>38</v>
      </c>
      <c r="C2" s="32">
        <v>46299.0</v>
      </c>
    </row>
    <row r="3" ht="14.25" customHeight="1">
      <c r="B3" s="31" t="s">
        <v>41</v>
      </c>
      <c r="C3" s="33" t="s">
        <v>42</v>
      </c>
    </row>
    <row r="4" ht="14.25" customHeight="1">
      <c r="B4" s="31" t="s">
        <v>45</v>
      </c>
      <c r="C4" s="33" t="s">
        <v>46</v>
      </c>
    </row>
    <row r="5" ht="14.25" customHeight="1"/>
    <row r="6">
      <c r="A6" s="35" t="s">
        <v>49</v>
      </c>
    </row>
    <row r="7">
      <c r="A7" s="37" t="s">
        <v>54</v>
      </c>
      <c r="B7" s="38" t="s">
        <v>61</v>
      </c>
      <c r="C7" s="38" t="s">
        <v>62</v>
      </c>
      <c r="D7" s="39" t="s">
        <v>63</v>
      </c>
    </row>
    <row r="8">
      <c r="A8" s="40">
        <v>1.0</v>
      </c>
      <c r="B8" s="41" t="s">
        <v>64</v>
      </c>
      <c r="C8" s="42" t="s">
        <v>65</v>
      </c>
      <c r="D8" s="43"/>
    </row>
    <row r="9">
      <c r="A9" s="40">
        <v>2.0</v>
      </c>
      <c r="B9" s="41" t="s">
        <v>66</v>
      </c>
      <c r="C9" s="42" t="s">
        <v>65</v>
      </c>
      <c r="D9" s="43"/>
    </row>
    <row r="10">
      <c r="A10" s="40">
        <v>3.0</v>
      </c>
      <c r="B10" s="41" t="s">
        <v>67</v>
      </c>
      <c r="C10" s="42" t="s">
        <v>65</v>
      </c>
      <c r="D10" s="43"/>
    </row>
    <row r="11">
      <c r="A11" s="40">
        <v>4.0</v>
      </c>
      <c r="B11" s="41" t="s">
        <v>68</v>
      </c>
      <c r="C11" s="42" t="s">
        <v>65</v>
      </c>
      <c r="D11" s="43"/>
    </row>
    <row r="12">
      <c r="A12" s="40">
        <v>5.0</v>
      </c>
      <c r="B12" s="41" t="s">
        <v>69</v>
      </c>
      <c r="C12" s="42" t="s">
        <v>65</v>
      </c>
      <c r="D12" s="43"/>
    </row>
    <row r="13">
      <c r="A13" s="40">
        <v>6.0</v>
      </c>
      <c r="B13" s="41" t="s">
        <v>70</v>
      </c>
      <c r="C13" s="42" t="s">
        <v>65</v>
      </c>
      <c r="D13" s="43"/>
    </row>
    <row r="14">
      <c r="A14" s="40">
        <v>7.0</v>
      </c>
      <c r="B14" s="41" t="s">
        <v>71</v>
      </c>
      <c r="C14" s="42"/>
      <c r="D14" s="42" t="s">
        <v>65</v>
      </c>
    </row>
    <row r="15">
      <c r="A15" s="40">
        <v>8.0</v>
      </c>
      <c r="B15" s="41" t="s">
        <v>72</v>
      </c>
      <c r="C15" s="42" t="s">
        <v>65</v>
      </c>
      <c r="D15" s="43"/>
    </row>
    <row r="16">
      <c r="A16" s="45">
        <v>9.0</v>
      </c>
      <c r="B16" s="46" t="s">
        <v>73</v>
      </c>
      <c r="C16" s="47"/>
      <c r="D16" s="47" t="s">
        <v>65</v>
      </c>
    </row>
    <row r="17">
      <c r="A17" s="48" t="s">
        <v>74</v>
      </c>
      <c r="C17" s="49">
        <f>COUNTA('MODELO DE LISTA DE COMPROBACION'!$C$8:$C$16)</f>
        <v>7</v>
      </c>
      <c r="D17" s="49">
        <f>COUNTA('MODELO DE LISTA DE COMPROBACION'!$D$8:$D$16)</f>
        <v>2</v>
      </c>
    </row>
    <row r="18">
      <c r="A18" s="48" t="s">
        <v>75</v>
      </c>
      <c r="C18" s="50">
        <f t="shared" ref="C18:D18" si="1">C17/9</f>
        <v>0.7777777778</v>
      </c>
      <c r="D18" s="50">
        <f t="shared" si="1"/>
        <v>0.2222222222</v>
      </c>
    </row>
    <row r="19" ht="14.25" customHeight="1">
      <c r="A19" s="48"/>
      <c r="B19" s="48"/>
      <c r="C19" s="50"/>
      <c r="D19" s="49"/>
    </row>
    <row r="20">
      <c r="A20" s="51" t="s">
        <v>76</v>
      </c>
      <c r="B20" s="52"/>
      <c r="C20" s="52"/>
      <c r="D20" s="52"/>
    </row>
    <row r="21">
      <c r="A21" s="53" t="s">
        <v>54</v>
      </c>
      <c r="B21" s="54" t="s">
        <v>61</v>
      </c>
      <c r="C21" s="55" t="s">
        <v>62</v>
      </c>
      <c r="D21" s="56" t="s">
        <v>63</v>
      </c>
    </row>
    <row r="22">
      <c r="A22" s="40">
        <v>1.0</v>
      </c>
      <c r="B22" s="41" t="s">
        <v>77</v>
      </c>
      <c r="C22" s="47" t="s">
        <v>65</v>
      </c>
      <c r="D22" s="43"/>
    </row>
    <row r="23">
      <c r="A23" s="40">
        <v>2.0</v>
      </c>
      <c r="B23" s="41" t="s">
        <v>78</v>
      </c>
      <c r="C23" s="47" t="s">
        <v>65</v>
      </c>
      <c r="D23" s="43"/>
    </row>
    <row r="24">
      <c r="A24" s="40">
        <v>3.0</v>
      </c>
      <c r="B24" s="41" t="s">
        <v>79</v>
      </c>
      <c r="C24" s="47"/>
      <c r="D24" s="62" t="s">
        <v>65</v>
      </c>
    </row>
    <row r="25">
      <c r="A25" s="40">
        <v>4.0</v>
      </c>
      <c r="B25" s="41" t="s">
        <v>80</v>
      </c>
      <c r="C25" s="47" t="s">
        <v>65</v>
      </c>
      <c r="D25" s="43"/>
    </row>
    <row r="26">
      <c r="A26" s="45">
        <v>5.0</v>
      </c>
      <c r="B26" s="46" t="s">
        <v>81</v>
      </c>
      <c r="C26" s="47" t="s">
        <v>65</v>
      </c>
      <c r="D26" s="57"/>
    </row>
    <row r="27" ht="14.25" customHeight="1">
      <c r="A27" s="48" t="s">
        <v>74</v>
      </c>
      <c r="C27" s="49">
        <f>COUNTA('MODELO DE LISTA DE COMPROBACION'!$C$22:$C$26)</f>
        <v>4</v>
      </c>
      <c r="D27" s="49">
        <f>COUNTA('MODELO DE LISTA DE COMPROBACION'!$D$22:$D$26)</f>
        <v>1</v>
      </c>
    </row>
    <row r="28" ht="14.25" customHeight="1">
      <c r="A28" s="48" t="s">
        <v>75</v>
      </c>
      <c r="C28" s="50">
        <f t="shared" ref="C28:D28" si="2">C27/5</f>
        <v>0.8</v>
      </c>
      <c r="D28" s="50">
        <f t="shared" si="2"/>
        <v>0.2</v>
      </c>
    </row>
    <row r="29" ht="14.25" customHeight="1">
      <c r="A29" s="48"/>
      <c r="B29" s="48"/>
      <c r="C29" s="50"/>
      <c r="D29" s="49"/>
    </row>
    <row r="30">
      <c r="A30" s="35" t="s">
        <v>82</v>
      </c>
    </row>
    <row r="31">
      <c r="A31" s="53" t="s">
        <v>54</v>
      </c>
      <c r="B31" s="54" t="s">
        <v>61</v>
      </c>
      <c r="C31" s="55" t="s">
        <v>62</v>
      </c>
      <c r="D31" s="56" t="s">
        <v>63</v>
      </c>
    </row>
    <row r="32">
      <c r="A32" s="40">
        <v>1.0</v>
      </c>
      <c r="B32" s="41" t="s">
        <v>83</v>
      </c>
      <c r="C32" s="59" t="s">
        <v>84</v>
      </c>
      <c r="D32" s="47"/>
    </row>
    <row r="33">
      <c r="A33" s="40">
        <v>2.0</v>
      </c>
      <c r="B33" s="41" t="s">
        <v>85</v>
      </c>
      <c r="C33" s="59" t="s">
        <v>84</v>
      </c>
      <c r="D33" s="47"/>
    </row>
    <row r="34">
      <c r="A34" s="45">
        <v>3.0</v>
      </c>
      <c r="B34" s="46" t="s">
        <v>86</v>
      </c>
      <c r="C34" s="47" t="s">
        <v>65</v>
      </c>
      <c r="D34" s="47"/>
    </row>
    <row r="35" ht="14.25" customHeight="1">
      <c r="A35" s="48" t="s">
        <v>74</v>
      </c>
      <c r="C35" s="21">
        <f>COUNTA('MODELO DE LISTA DE COMPROBACION'!$C$32:$C$34)</f>
        <v>3</v>
      </c>
      <c r="D35" s="21">
        <f>COUNTA('MODELO DE LISTA DE COMPROBACION'!$D$32:$D$34)</f>
        <v>0</v>
      </c>
    </row>
    <row r="36" ht="14.25" customHeight="1">
      <c r="A36" s="48" t="s">
        <v>75</v>
      </c>
      <c r="C36" s="50">
        <f t="shared" ref="C36:D36" si="3">C35/3</f>
        <v>1</v>
      </c>
      <c r="D36" s="50">
        <f t="shared" si="3"/>
        <v>0</v>
      </c>
    </row>
    <row r="37" ht="14.25" customHeight="1"/>
    <row r="38" ht="14.25" customHeight="1"/>
    <row r="39" ht="14.25" customHeight="1"/>
    <row r="40" ht="14.25" customHeight="1">
      <c r="A40" s="60" t="s">
        <v>87</v>
      </c>
    </row>
    <row r="41" ht="30.0" customHeight="1">
      <c r="B41" s="27" t="s">
        <v>88</v>
      </c>
      <c r="C41" s="49">
        <v>78.0</v>
      </c>
    </row>
    <row r="42" ht="30.0" customHeight="1">
      <c r="B42" s="27" t="s">
        <v>76</v>
      </c>
      <c r="C42" s="61">
        <v>80.0</v>
      </c>
    </row>
    <row r="43" ht="30.0" customHeight="1">
      <c r="B43" s="27" t="s">
        <v>82</v>
      </c>
      <c r="C43" s="61">
        <v>100.0</v>
      </c>
    </row>
    <row r="44" ht="14.25" customHeight="1">
      <c r="C44" s="49"/>
    </row>
    <row r="45" ht="14.25" customHeight="1">
      <c r="C45" s="49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11" priority="1" operator="containsText" text="X">
      <formula>NOT(ISERROR(SEARCH(("X"),(A32))))</formula>
    </cfRule>
  </conditionalFormatting>
  <conditionalFormatting sqref="C8:D16 C22:C26 C32:D34">
    <cfRule type="containsText" dxfId="12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4" priority="4" operator="containsText" text="X">
      <formula>NOT(ISERROR(SEARCH(("X"),(C8))))</formula>
    </cfRule>
  </conditionalFormatting>
  <conditionalFormatting sqref="C8:D16 C22:C26 C32:D34">
    <cfRule type="containsText" dxfId="15" priority="5" operator="containsText" text="X">
      <formula>NOT(ISERROR(SEARCH(("X"),(C8))))</formula>
    </cfRule>
  </conditionalFormatting>
  <conditionalFormatting sqref="C22:D26">
    <cfRule type="containsText" dxfId="12" priority="6" operator="containsText" text="X">
      <formula>NOT(ISERROR(SEARCH(("X"),(C22))))</formula>
    </cfRule>
  </conditionalFormatting>
  <conditionalFormatting sqref="C22:D26">
    <cfRule type="containsText" dxfId="13" priority="7" operator="containsText" text="X">
      <formula>NOT(ISERROR(SEARCH(("X"),(C22))))</formula>
    </cfRule>
  </conditionalFormatting>
  <conditionalFormatting sqref="C32:D34">
    <cfRule type="containsText" dxfId="12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63" t="s">
        <v>89</v>
      </c>
      <c r="B1" s="63" t="s">
        <v>90</v>
      </c>
    </row>
    <row r="2" ht="132.75" customHeight="1">
      <c r="A2" s="64" t="s">
        <v>91</v>
      </c>
      <c r="B2" s="65" t="s">
        <v>92</v>
      </c>
    </row>
    <row r="3" ht="55.5" customHeight="1">
      <c r="A3" s="64" t="s">
        <v>93</v>
      </c>
      <c r="B3" s="66" t="s">
        <v>94</v>
      </c>
    </row>
    <row r="4" ht="111.75" customHeight="1">
      <c r="A4" s="67" t="s">
        <v>95</v>
      </c>
      <c r="B4" s="68" t="s">
        <v>96</v>
      </c>
    </row>
    <row r="5" ht="117.75" customHeight="1">
      <c r="A5" s="67" t="s">
        <v>97</v>
      </c>
      <c r="B5" s="68" t="s">
        <v>98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86"/>
    <col customWidth="1" min="2" max="2" width="57.29"/>
    <col customWidth="1" min="3" max="6" width="10.71"/>
  </cols>
  <sheetData>
    <row r="1" ht="14.25" customHeight="1">
      <c r="A1" s="63" t="s">
        <v>89</v>
      </c>
      <c r="B1" s="63" t="s">
        <v>90</v>
      </c>
    </row>
    <row r="2" ht="83.25" customHeight="1">
      <c r="A2" s="69" t="s">
        <v>91</v>
      </c>
      <c r="B2" s="70" t="s">
        <v>102</v>
      </c>
    </row>
    <row r="3" ht="100.5" customHeight="1">
      <c r="A3" s="69" t="s">
        <v>93</v>
      </c>
      <c r="B3" s="71" t="s">
        <v>103</v>
      </c>
    </row>
    <row r="4">
      <c r="A4" s="13" t="s">
        <v>104</v>
      </c>
      <c r="B4" s="75" t="s">
        <v>105</v>
      </c>
    </row>
    <row r="5" ht="83.25" customHeight="1">
      <c r="A5" s="74" t="s">
        <v>97</v>
      </c>
      <c r="B5" s="76" t="s">
        <v>106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57.29"/>
    <col customWidth="1" min="3" max="6" width="10.71"/>
  </cols>
  <sheetData>
    <row r="1" ht="14.25" customHeight="1">
      <c r="A1" s="63" t="s">
        <v>89</v>
      </c>
      <c r="B1" s="63" t="s">
        <v>90</v>
      </c>
    </row>
    <row r="2">
      <c r="A2" s="69" t="s">
        <v>91</v>
      </c>
      <c r="B2" s="70" t="s">
        <v>99</v>
      </c>
    </row>
    <row r="3">
      <c r="A3" s="69" t="s">
        <v>93</v>
      </c>
      <c r="B3" s="71" t="s">
        <v>100</v>
      </c>
    </row>
    <row r="4">
      <c r="A4" s="72" t="s">
        <v>95</v>
      </c>
      <c r="B4" s="73" t="s">
        <v>101</v>
      </c>
    </row>
    <row r="5">
      <c r="A5" s="74" t="s">
        <v>97</v>
      </c>
      <c r="B5" s="73" t="s">
        <v>98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